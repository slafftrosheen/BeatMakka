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468eb0664c41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 Queue" sheetId="1" r:id="R0e06c9ef7b63493d"/>
    <x:sheet xmlns:r="http://schemas.openxmlformats.org/officeDocument/2006/relationships" name="Build Contracts" sheetId="2" r:id="Ra122e502ede54b7a"/>
    <x:sheet xmlns:r="http://schemas.openxmlformats.org/officeDocument/2006/relationships" name="Tripo Recipes" sheetId="3" r:id="R525ad58b5f2148d0"/>
    <x:sheet xmlns:r="http://schemas.openxmlformats.org/officeDocument/2006/relationships" name="Sources" sheetId="4" r:id="R1aae9ed8491e42ea"/>
    <x:sheet xmlns:r="http://schemas.openxmlformats.org/officeDocument/2006/relationships" name="Acceptance Gates" sheetId="5" r:id="R9b3151f8502e4dbd"/>
    <x:sheet xmlns:r="http://schemas.openxmlformats.org/officeDocument/2006/relationships" name="Spend Ledger" sheetId="6" r:id="R35ac3eebcd894fab"/>
    <x:sheet xmlns:r="http://schemas.openxmlformats.org/officeDocument/2006/relationships" name="Overview" sheetId="7" r:id="Rbe11aedad3fe49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0">
    <x:font>
      <x:sz val="11"/>
      <x:name val="Carlito"/>
    </x:font>
    <x:font>
      <x:sz val="11"/>
      <x:color rgb="FF263334"/>
      <x:name val="Calibri"/>
    </x:font>
    <x:font>
      <x:b/>
      <x:sz val="18"/>
      <x:color rgb="FFFFFFFF"/>
      <x:name val="Calibri"/>
    </x:font>
    <x:font>
      <x:i/>
      <x:sz val="11"/>
      <x:color rgb="FF65716D"/>
      <x:name val="Calibri"/>
    </x:font>
    <x:font>
      <x:b/>
      <x:sz val="11"/>
      <x:color rgb="FFFFFFFF"/>
      <x:name val="Calibri"/>
    </x:font>
    <x:font>
      <x:sz val="11"/>
      <x:color rgb="FF1D4ED8"/>
      <x:name val="Calibri"/>
    </x:font>
    <x:font>
      <x:b/>
      <x:sz val="22"/>
      <x:color rgb="FFFFFFFF"/>
      <x:name val="Calibri"/>
    </x:font>
    <x:font>
      <x:b/>
      <x:sz val="11"/>
      <x:color rgb="FF2F5C58"/>
      <x:name val="Calibri"/>
    </x:font>
    <x:font>
      <x:b/>
      <x:sz val="26"/>
      <x:color rgb="FF2F5C58"/>
      <x:name val="Calibri"/>
    </x:font>
    <x:font>
      <x:b/>
      <x:sz val="11"/>
      <x:color rgb="FF913E27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2F5C58"/>
      </x:patternFill>
    </x:fill>
    <x:fill>
      <x:patternFill patternType="solid">
        <x:fgColor rgb="FFF4EFE5"/>
      </x:patternFill>
    </x:fill>
    <x:fill>
      <x:patternFill patternType="solid">
        <x:fgColor rgb="FFF5D8C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1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/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F5D8CE"/>
        </x:patternFill>
      </x:fill>
    </x:dxf>
    <x:dxf>
      <x:fill>
        <x:patternFill patternType="solid">
          <x:bgColor rgb="FFCEE4D7"/>
        </x:patternFill>
      </x:fill>
    </x:dxf>
    <x:dxf>
      <x:fill>
        <x:patternFill patternType="solid">
          <x:bgColor rgb="FFF5D8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5fc37a97204b11" /><Relationship Type="http://schemas.openxmlformats.org/officeDocument/2006/relationships/theme" Target="/xl/theme/theme1.xml" Id="R24336208715a4b06" /><Relationship Type="http://schemas.openxmlformats.org/officeDocument/2006/relationships/sharedStrings" Target="/xl/sharedStrings.xml" Id="Raf3868b512f546a9" /><Relationship Type="http://schemas.openxmlformats.org/officeDocument/2006/relationships/worksheet" Target="/xl/worksheets/sheet1.xml" Id="R0e06c9ef7b63493d" /><Relationship Type="http://schemas.openxmlformats.org/officeDocument/2006/relationships/worksheet" Target="/xl/worksheets/sheet2.xml" Id="Ra122e502ede54b7a" /><Relationship Type="http://schemas.openxmlformats.org/officeDocument/2006/relationships/worksheet" Target="/xl/worksheets/sheet3.xml" Id="R525ad58b5f2148d0" /><Relationship Type="http://schemas.openxmlformats.org/officeDocument/2006/relationships/worksheet" Target="/xl/worksheets/sheet4.xml" Id="R1aae9ed8491e42ea" /><Relationship Type="http://schemas.openxmlformats.org/officeDocument/2006/relationships/worksheet" Target="/xl/worksheets/sheet5.xml" Id="R9b3151f8502e4dbd" /><Relationship Type="http://schemas.openxmlformats.org/officeDocument/2006/relationships/worksheet" Target="/xl/worksheets/sheet6.xml" Id="R35ac3eebcd894fab" /><Relationship Type="http://schemas.openxmlformats.org/officeDocument/2006/relationships/worksheet" Target="/xl/worksheets/sheet7.xml" Id="Rbe11aedad3fe49ba" /></Relationships>
</file>

<file path=xl/tables/table1.xml><?xml version="1.0" encoding="utf-8"?>
<x:table xmlns:x="http://schemas.openxmlformats.org/spreadsheetml/2006/main" id="1" name="AssetQueueTable" displayName="AssetQueueTable" ref="A4:J78" headerRowCount="1" totalsRowCount="0" totalsRowShown="0">
  <x:tableColumns count="10">
    <x:tableColumn id="1" name="ID"/>
    <x:tableColumn id="2" name="Asset / package"/>
    <x:tableColumn id="3" name="Priority"/>
    <x:tableColumn id="4" name="Production route"/>
    <x:tableColumn id="5" name="Placed units"/>
    <x:tableColumn id="6" name="Full asset tri cap"/>
    <x:tableColumn id="7" name="Tripo face cap"/>
    <x:tableColumn id="8" name="Final texture cap px"/>
    <x:tableColumn id="9" name="Status"/>
    <x:tableColumn id="10" name="Own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ildContractsTable" displayName="BuildContractsTable" ref="A4:H78" headerRowCount="1" totalsRowCount="0" totalsRowShown="0">
  <x:tableColumns count="8">
    <x:tableColumn id="1" name="ID"/>
    <x:tableColumn id="2" name="Asset"/>
    <x:tableColumn id="3" name="Dimensions"/>
    <x:tableColumn id="4" name="Pivot / forward"/>
    <x:tableColumn id="5" name="Collision"/>
    <x:tableColumn id="6" name="Separate / moving parts"/>
    <x:tableColumn id="7" name="Dependencies"/>
    <x:tableColumn id="8" name="Accepta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ipoRecipesTable" displayName="TripoRecipesTable" ref="A4:G24" headerRowCount="1" totalsRowCount="0" totalsRowShown="0">
  <x:tableColumns count="7">
    <x:tableColumn id="1" name="ID"/>
    <x:tableColumn id="2" name="Asset"/>
    <x:tableColumn id="3" name="Profile"/>
    <x:tableColumn id="4" name="Candidate face cap"/>
    <x:tableColumn id="5" name="Full asset tri cap"/>
    <x:tableColumn id="6" name="Status"/>
    <x:tableColumn id="7" name="Reference st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Table" displayName="SourcesTable" ref="A4:E23" headerRowCount="1" totalsRowCount="0" totalsRowShown="0">
  <x:tableColumns count="5">
    <x:tableColumn id="1" name="Source ID"/>
    <x:tableColumn id="2" name="Official document"/>
    <x:tableColumn id="3" name="Official URL"/>
    <x:tableColumn id="4" name="Checked on"/>
    <x:tableColumn id="5" name="Qualification / 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cceptanceGatesTable" displayName="AcceptanceGatesTable" ref="A4:E10" headerRowCount="1" totalsRowCount="0" totalsRowShown="0">
  <x:tableColumns count="5">
    <x:tableColumn id="1" name="Gate"/>
    <x:tableColumn id="2" name="Stage"/>
    <x:tableColumn id="3" name="Required evidence"/>
    <x:tableColumn id="4" name="Current state"/>
    <x:tableColumn id="5" name="Failure / scope boundar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pendLedgerTable" displayName="SpendLedgerTable" ref="A4:G10" headerRowCount="1" totalsRowCount="0" totalsRowShown="0">
  <x:tableColumns count="7">
    <x:tableColumn id="1" name="Batch"/>
    <x:tableColumn id="2" name="Approved cap"/>
    <x:tableColumn id="3" name="Spent"/>
    <x:tableColumn id="4" name="Reserved"/>
    <x:tableColumn id="5" name="Remaining"/>
    <x:tableColumn id="6" name="Authorization"/>
    <x:tableColumn id="7" name="Evidence 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2a8f6872284a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a524b1a38724c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363341facfd4d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76d49d2216c48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0cf2e48575745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1576fd266c84867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32" hidden="0" customWidth="1"/>
    <x:col min="3" max="3" width="10" hidden="0" customWidth="1"/>
    <x:col min="4" max="4" width="23" hidden="0" customWidth="1"/>
    <x:col min="5" max="5" width="12" hidden="0" customWidth="1"/>
    <x:col min="6" max="6" width="15" hidden="0" customWidth="1"/>
    <x:col min="7" max="7" width="15" hidden="0" customWidth="1"/>
    <x:col min="8" max="8" width="17" hidden="0" customWidth="1"/>
    <x:col min="9" max="9" width="19" hidden="0" customWidth="1"/>
    <x:col min="10" max="10" width="18" hidden="0" customWidth="1"/>
  </x:cols>
  <x:sheetData>
    <x:row r="1" ht="32" customHeight="1">
      <x:c r="A1" s="5" t="str">
        <x:v>ASSET QUEUE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4" customHeight="1">
      <x:c r="A2" s="10" t="str">
        <x:v>Canonical IDs preserved. Proposed project budgets; no meshes generated or accepted. JSON remains the machine-readable source of truth.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32" customHeight="1">
      <x:c r="A4" s="15" t="str">
        <x:v>ID</x:v>
      </x:c>
      <x:c r="B4" s="15" t="str">
        <x:v>Asset / package</x:v>
      </x:c>
      <x:c r="C4" s="15" t="str">
        <x:v>Priority</x:v>
      </x:c>
      <x:c r="D4" s="15" t="str">
        <x:v>Production route</x:v>
      </x:c>
      <x:c r="E4" s="15" t="str">
        <x:v>Placed units</x:v>
      </x:c>
      <x:c r="F4" s="15" t="str">
        <x:v>Full asset tri cap</x:v>
      </x:c>
      <x:c r="G4" s="15" t="str">
        <x:v>Tripo face cap</x:v>
      </x:c>
      <x:c r="H4" s="15" t="str">
        <x:v>Final texture cap px</x:v>
      </x:c>
      <x:c r="I4" s="15" t="str">
        <x:v>Status</x:v>
      </x:c>
      <x:c r="J4" s="15" t="str">
        <x:v>Owner</x:v>
      </x:c>
    </x:row>
    <x:row r="5" ht="46" customHeight="1">
      <x:c r="A5" s="19" t="str">
        <x:v>H01</x:v>
      </x:c>
      <x:c r="B5" s="19" t="str">
        <x:v>MK-I sampler workstation</x:v>
      </x:c>
      <x:c r="C5" s="19" t="str">
        <x:v>P0</x:v>
      </x:c>
      <x:c r="D5" s="19" t="str">
        <x:v>HYBRID_TRIPO</x:v>
      </x:c>
      <x:c r="E5" s="19" t="n">
        <x:v>3</x:v>
      </x:c>
      <x:c r="F5" s="19" t="n">
        <x:v>4500</x:v>
      </x:c>
      <x:c r="G5" s="19" t="n">
        <x:v>2200</x:v>
      </x:c>
      <x:c r="H5" s="19" t="n">
        <x:v>1024</x:v>
      </x:c>
      <x:c r="I5" s="19" t="str">
        <x:v>Not started</x:v>
      </x:c>
      <x:c r="J5" s="19" t="str">
        <x:v>Unassigned</x:v>
      </x:c>
    </x:row>
    <x:row r="6" ht="46" customHeight="1">
      <x:c r="A6" s="19" t="str">
        <x:v>H02</x:v>
      </x:c>
      <x:c r="B6" s="19" t="str">
        <x:v>Compact speaker stack</x:v>
      </x:c>
      <x:c r="C6" s="19" t="str">
        <x:v>P0</x:v>
      </x:c>
      <x:c r="D6" s="19" t="str">
        <x:v>HYBRID_TRIPO</x:v>
      </x:c>
      <x:c r="E6" s="19" t="n">
        <x:v>3</x:v>
      </x:c>
      <x:c r="F6" s="19" t="n">
        <x:v>2200</x:v>
      </x:c>
      <x:c r="G6" s="19" t="n">
        <x:v>1800</x:v>
      </x:c>
      <x:c r="H6" s="19" t="n">
        <x:v>1024</x:v>
      </x:c>
      <x:c r="I6" s="19" t="str">
        <x:v>Not started</x:v>
      </x:c>
      <x:c r="J6" s="19" t="str">
        <x:v>Unassigned</x:v>
      </x:c>
    </x:row>
    <x:row r="7" ht="46" customHeight="1">
      <x:c r="A7" s="19" t="str">
        <x:v>H03</x:v>
      </x:c>
      <x:c r="B7" s="19" t="str">
        <x:v>Vinyl crate and record insert</x:v>
      </x:c>
      <x:c r="C7" s="19" t="str">
        <x:v>P0</x:v>
      </x:c>
      <x:c r="D7" s="19" t="str">
        <x:v>HYBRID_TRIPO</x:v>
      </x:c>
      <x:c r="E7" s="19" t="n">
        <x:v>8</x:v>
      </x:c>
      <x:c r="F7" s="19" t="n">
        <x:v>950</x:v>
      </x:c>
      <x:c r="G7" s="19" t="n">
        <x:v>650</x:v>
      </x:c>
      <x:c r="H7" s="19" t="n">
        <x:v>1024</x:v>
      </x:c>
      <x:c r="I7" s="19" t="str">
        <x:v>Not started</x:v>
      </x:c>
      <x:c r="J7" s="19" t="str">
        <x:v>Unassigned</x:v>
      </x:c>
    </x:row>
    <x:row r="8" ht="46" customHeight="1">
      <x:c r="A8" s="19" t="str">
        <x:v>H04</x:v>
      </x:c>
      <x:c r="B8" s="19" t="str">
        <x:v>Maintenance helper robot</x:v>
      </x:c>
      <x:c r="C8" s="19" t="str">
        <x:v>P0</x:v>
      </x:c>
      <x:c r="D8" s="19" t="str">
        <x:v>HYBRID_TRIPO</x:v>
      </x:c>
      <x:c r="E8" s="19" t="n">
        <x:v>1</x:v>
      </x:c>
      <x:c r="F8" s="19" t="n">
        <x:v>5000</x:v>
      </x:c>
      <x:c r="G8" s="19" t="n">
        <x:v>3500</x:v>
      </x:c>
      <x:c r="H8" s="19" t="n">
        <x:v>1024</x:v>
      </x:c>
      <x:c r="I8" s="19" t="str">
        <x:v>Not started</x:v>
      </x:c>
      <x:c r="J8" s="19" t="str">
        <x:v>Unassigned</x:v>
      </x:c>
    </x:row>
    <x:row r="9" ht="46" customHeight="1">
      <x:c r="A9" s="19" t="str">
        <x:v>H05</x:v>
      </x:c>
      <x:c r="B9" s="19" t="str">
        <x:v>Curved street lamp</x:v>
      </x:c>
      <x:c r="C9" s="19" t="str">
        <x:v>P0</x:v>
      </x:c>
      <x:c r="D9" s="19" t="str">
        <x:v>HYBRID_TRIPO</x:v>
      </x:c>
      <x:c r="E9" s="19" t="n">
        <x:v>6</x:v>
      </x:c>
      <x:c r="F9" s="19" t="n">
        <x:v>1100</x:v>
      </x:c>
      <x:c r="G9" s="19" t="n">
        <x:v>900</x:v>
      </x:c>
      <x:c r="H9" s="19" t="n">
        <x:v>1024</x:v>
      </x:c>
      <x:c r="I9" s="19" t="str">
        <x:v>Not started</x:v>
      </x:c>
      <x:c r="J9" s="19" t="str">
        <x:v>Unassigned</x:v>
      </x:c>
    </x:row>
    <x:row r="10" ht="46" customHeight="1">
      <x:c r="A10" s="19" t="str">
        <x:v>H06</x:v>
      </x:c>
      <x:c r="B10" s="19" t="str">
        <x:v>Record-shop / workshop shell</x:v>
      </x:c>
      <x:c r="C10" s="19" t="str">
        <x:v>P0</x:v>
      </x:c>
      <x:c r="D10" s="19" t="str">
        <x:v>STUDIO_ASSEMBLY</x:v>
      </x:c>
      <x:c r="E10" s="19" t="n">
        <x:v>1</x:v>
      </x:c>
      <x:c r="F10" s="19"/>
      <x:c r="G10" s="19"/>
      <x:c r="H10" s="19" t="n">
        <x:v>1024</x:v>
      </x:c>
      <x:c r="I10" s="19" t="str">
        <x:v>Not started</x:v>
      </x:c>
      <x:c r="J10" s="19" t="str">
        <x:v>Unassigned</x:v>
      </x:c>
    </x:row>
    <x:row r="11" ht="46" customHeight="1">
      <x:c r="A11" s="19" t="str">
        <x:v>M01</x:v>
      </x:c>
      <x:c r="B11" s="19" t="str">
        <x:v>Full wall bay</x:v>
      </x:c>
      <x:c r="C11" s="19" t="str">
        <x:v>P0</x:v>
      </x:c>
      <x:c r="D11" s="19" t="str">
        <x:v>DCC_EXACT</x:v>
      </x:c>
      <x:c r="E11" s="19" t="n">
        <x:v>16</x:v>
      </x:c>
      <x:c r="F11" s="19" t="n">
        <x:v>350</x:v>
      </x:c>
      <x:c r="G11" s="19"/>
      <x:c r="H11" s="19" t="n">
        <x:v>512</x:v>
      </x:c>
      <x:c r="I11" s="19" t="str">
        <x:v>Not started</x:v>
      </x:c>
      <x:c r="J11" s="19" t="str">
        <x:v>Unassigned</x:v>
      </x:c>
    </x:row>
    <x:row r="12" ht="46" customHeight="1">
      <x:c r="A12" s="19" t="str">
        <x:v>M02</x:v>
      </x:c>
      <x:c r="B12" s="19" t="str">
        <x:v>Half wall bay</x:v>
      </x:c>
      <x:c r="C12" s="19" t="str">
        <x:v>P1</x:v>
      </x:c>
      <x:c r="D12" s="19" t="str">
        <x:v>DCC_EXACT</x:v>
      </x:c>
      <x:c r="E12" s="19" t="n">
        <x:v>6</x:v>
      </x:c>
      <x:c r="F12" s="19" t="n">
        <x:v>250</x:v>
      </x:c>
      <x:c r="G12" s="19"/>
      <x:c r="H12" s="19" t="n">
        <x:v>512</x:v>
      </x:c>
      <x:c r="I12" s="19" t="str">
        <x:v>Not started</x:v>
      </x:c>
      <x:c r="J12" s="19" t="str">
        <x:v>Unassigned</x:v>
      </x:c>
    </x:row>
    <x:row r="13" ht="46" customHeight="1">
      <x:c r="A13" s="19" t="str">
        <x:v>M03</x:v>
      </x:c>
      <x:c r="B13" s="19" t="str">
        <x:v>Corner post</x:v>
      </x:c>
      <x:c r="C13" s="19" t="str">
        <x:v>P0</x:v>
      </x:c>
      <x:c r="D13" s="19" t="str">
        <x:v>DCC_EXACT</x:v>
      </x:c>
      <x:c r="E13" s="19" t="n">
        <x:v>8</x:v>
      </x:c>
      <x:c r="F13" s="19" t="n">
        <x:v>220</x:v>
      </x:c>
      <x:c r="G13" s="19"/>
      <x:c r="H13" s="19" t="n">
        <x:v>512</x:v>
      </x:c>
      <x:c r="I13" s="19" t="str">
        <x:v>Not started</x:v>
      </x:c>
      <x:c r="J13" s="19" t="str">
        <x:v>Unassigned</x:v>
      </x:c>
    </x:row>
    <x:row r="14" ht="46" customHeight="1">
      <x:c r="A14" s="19" t="str">
        <x:v>M04</x:v>
      </x:c>
      <x:c r="B14" s="19" t="str">
        <x:v>Door portal bay</x:v>
      </x:c>
      <x:c r="C14" s="19" t="str">
        <x:v>P0</x:v>
      </x:c>
      <x:c r="D14" s="19" t="str">
        <x:v>DCC_EXACT</x:v>
      </x:c>
      <x:c r="E14" s="19" t="n">
        <x:v>2</x:v>
      </x:c>
      <x:c r="F14" s="19" t="n">
        <x:v>450</x:v>
      </x:c>
      <x:c r="G14" s="19"/>
      <x:c r="H14" s="19" t="n">
        <x:v>512</x:v>
      </x:c>
      <x:c r="I14" s="19" t="str">
        <x:v>Not started</x:v>
      </x:c>
      <x:c r="J14" s="19" t="str">
        <x:v>Unassigned</x:v>
      </x:c>
    </x:row>
    <x:row r="15" ht="46" customHeight="1">
      <x:c r="A15" s="19" t="str">
        <x:v>M05</x:v>
      </x:c>
      <x:c r="B15" s="19" t="str">
        <x:v>Display window bay</x:v>
      </x:c>
      <x:c r="C15" s="19" t="str">
        <x:v>P0</x:v>
      </x:c>
      <x:c r="D15" s="19" t="str">
        <x:v>DCC_EXACT</x:v>
      </x:c>
      <x:c r="E15" s="19" t="n">
        <x:v>3</x:v>
      </x:c>
      <x:c r="F15" s="19" t="n">
        <x:v>550</x:v>
      </x:c>
      <x:c r="G15" s="19"/>
      <x:c r="H15" s="19" t="n">
        <x:v>512</x:v>
      </x:c>
      <x:c r="I15" s="19" t="str">
        <x:v>Not started</x:v>
      </x:c>
      <x:c r="J15" s="19" t="str">
        <x:v>Unassigned</x:v>
      </x:c>
    </x:row>
    <x:row r="16" ht="46" customHeight="1">
      <x:c r="A16" s="19" t="str">
        <x:v>M06</x:v>
      </x:c>
      <x:c r="B16" s="19" t="str">
        <x:v>Door leaf</x:v>
      </x:c>
      <x:c r="C16" s="19" t="str">
        <x:v>P0</x:v>
      </x:c>
      <x:c r="D16" s="19" t="str">
        <x:v>DCC_EXACT</x:v>
      </x:c>
      <x:c r="E16" s="19" t="n">
        <x:v>2</x:v>
      </x:c>
      <x:c r="F16" s="19" t="n">
        <x:v>400</x:v>
      </x:c>
      <x:c r="G16" s="19"/>
      <x:c r="H16" s="19" t="n">
        <x:v>512</x:v>
      </x:c>
      <x:c r="I16" s="19" t="str">
        <x:v>Not started</x:v>
      </x:c>
      <x:c r="J16" s="19" t="str">
        <x:v>Unassigned</x:v>
      </x:c>
    </x:row>
    <x:row r="17" ht="46" customHeight="1">
      <x:c r="A17" s="19" t="str">
        <x:v>M07</x:v>
      </x:c>
      <x:c r="B17" s="19" t="str">
        <x:v>Floor tile</x:v>
      </x:c>
      <x:c r="C17" s="19" t="str">
        <x:v>P0</x:v>
      </x:c>
      <x:c r="D17" s="19" t="str">
        <x:v>DCC_EXACT</x:v>
      </x:c>
      <x:c r="E17" s="19" t="n">
        <x:v>12</x:v>
      </x:c>
      <x:c r="F17" s="19" t="n">
        <x:v>120</x:v>
      </x:c>
      <x:c r="G17" s="19"/>
      <x:c r="H17" s="19" t="n">
        <x:v>512</x:v>
      </x:c>
      <x:c r="I17" s="19" t="str">
        <x:v>Not started</x:v>
      </x:c>
      <x:c r="J17" s="19" t="str">
        <x:v>Unassigned</x:v>
      </x:c>
    </x:row>
    <x:row r="18" ht="46" customHeight="1">
      <x:c r="A18" s="19" t="str">
        <x:v>M08</x:v>
      </x:c>
      <x:c r="B18" s="19" t="str">
        <x:v>Roof panel</x:v>
      </x:c>
      <x:c r="C18" s="19" t="str">
        <x:v>P0</x:v>
      </x:c>
      <x:c r="D18" s="19" t="str">
        <x:v>DCC_EXACT</x:v>
      </x:c>
      <x:c r="E18" s="19" t="n">
        <x:v>12</x:v>
      </x:c>
      <x:c r="F18" s="19" t="n">
        <x:v>160</x:v>
      </x:c>
      <x:c r="G18" s="19"/>
      <x:c r="H18" s="19" t="n">
        <x:v>512</x:v>
      </x:c>
      <x:c r="I18" s="19" t="str">
        <x:v>Not started</x:v>
      </x:c>
      <x:c r="J18" s="19" t="str">
        <x:v>Unassigned</x:v>
      </x:c>
    </x:row>
    <x:row r="19" ht="46" customHeight="1">
      <x:c r="A19" s="19" t="str">
        <x:v>M09</x:v>
      </x:c>
      <x:c r="B19" s="19" t="str">
        <x:v>Roof-edge trim</x:v>
      </x:c>
      <x:c r="C19" s="19" t="str">
        <x:v>P1</x:v>
      </x:c>
      <x:c r="D19" s="19" t="str">
        <x:v>DCC_EXACT</x:v>
      </x:c>
      <x:c r="E19" s="19" t="n">
        <x:v>12</x:v>
      </x:c>
      <x:c r="F19" s="19" t="n">
        <x:v>220</x:v>
      </x:c>
      <x:c r="G19" s="19"/>
      <x:c r="H19" s="19" t="n">
        <x:v>512</x:v>
      </x:c>
      <x:c r="I19" s="19" t="str">
        <x:v>Not started</x:v>
      </x:c>
      <x:c r="J19" s="19" t="str">
        <x:v>Unassigned</x:v>
      </x:c>
    </x:row>
    <x:row r="20" ht="46" customHeight="1">
      <x:c r="A20" s="19" t="str">
        <x:v>M10</x:v>
      </x:c>
      <x:c r="B20" s="19" t="str">
        <x:v>Striped awning bay</x:v>
      </x:c>
      <x:c r="C20" s="19" t="str">
        <x:v>P0</x:v>
      </x:c>
      <x:c r="D20" s="19" t="str">
        <x:v>DCC_EXACT</x:v>
      </x:c>
      <x:c r="E20" s="19" t="n">
        <x:v>3</x:v>
      </x:c>
      <x:c r="F20" s="19" t="n">
        <x:v>650</x:v>
      </x:c>
      <x:c r="G20" s="19"/>
      <x:c r="H20" s="19" t="n">
        <x:v>512</x:v>
      </x:c>
      <x:c r="I20" s="19" t="str">
        <x:v>Not started</x:v>
      </x:c>
      <x:c r="J20" s="19" t="str">
        <x:v>Unassigned</x:v>
      </x:c>
    </x:row>
    <x:row r="21" ht="46" customHeight="1">
      <x:c r="A21" s="19" t="str">
        <x:v>M11</x:v>
      </x:c>
      <x:c r="B21" s="19" t="str">
        <x:v>Entry step unit</x:v>
      </x:c>
      <x:c r="C21" s="19" t="str">
        <x:v>P0</x:v>
      </x:c>
      <x:c r="D21" s="19" t="str">
        <x:v>DCC_EXACT</x:v>
      </x:c>
      <x:c r="E21" s="19" t="n">
        <x:v>2</x:v>
      </x:c>
      <x:c r="F21" s="19" t="n">
        <x:v>220</x:v>
      </x:c>
      <x:c r="G21" s="19"/>
      <x:c r="H21" s="19" t="n">
        <x:v>512</x:v>
      </x:c>
      <x:c r="I21" s="19" t="str">
        <x:v>Not started</x:v>
      </x:c>
      <x:c r="J21" s="19" t="str">
        <x:v>Unassigned</x:v>
      </x:c>
    </x:row>
    <x:row r="22" ht="46" customHeight="1">
      <x:c r="A22" s="19" t="str">
        <x:v>M12</x:v>
      </x:c>
      <x:c r="B22" s="19" t="str">
        <x:v>Access ramp</x:v>
      </x:c>
      <x:c r="C22" s="19" t="str">
        <x:v>P0</x:v>
      </x:c>
      <x:c r="D22" s="19" t="str">
        <x:v>DCC_EXACT</x:v>
      </x:c>
      <x:c r="E22" s="19" t="n">
        <x:v>1</x:v>
      </x:c>
      <x:c r="F22" s="19" t="n">
        <x:v>100</x:v>
      </x:c>
      <x:c r="G22" s="19"/>
      <x:c r="H22" s="19" t="n">
        <x:v>512</x:v>
      </x:c>
      <x:c r="I22" s="19" t="str">
        <x:v>Not started</x:v>
      </x:c>
      <x:c r="J22" s="19" t="str">
        <x:v>Unassigned</x:v>
      </x:c>
    </x:row>
    <x:row r="23" ht="46" customHeight="1">
      <x:c r="A23" s="19" t="str">
        <x:v>M13</x:v>
      </x:c>
      <x:c r="B23" s="19" t="str">
        <x:v>Paving tile</x:v>
      </x:c>
      <x:c r="C23" s="19" t="str">
        <x:v>P0</x:v>
      </x:c>
      <x:c r="D23" s="19" t="str">
        <x:v>DCC_EXACT</x:v>
      </x:c>
      <x:c r="E23" s="19" t="n">
        <x:v>48</x:v>
      </x:c>
      <x:c r="F23" s="19" t="n">
        <x:v>120</x:v>
      </x:c>
      <x:c r="G23" s="19"/>
      <x:c r="H23" s="19" t="n">
        <x:v>512</x:v>
      </x:c>
      <x:c r="I23" s="19" t="str">
        <x:v>Not started</x:v>
      </x:c>
      <x:c r="J23" s="19" t="str">
        <x:v>Unassigned</x:v>
      </x:c>
    </x:row>
    <x:row r="24" ht="46" customHeight="1">
      <x:c r="A24" s="19" t="str">
        <x:v>M14</x:v>
      </x:c>
      <x:c r="B24" s="19" t="str">
        <x:v>Curb section</x:v>
      </x:c>
      <x:c r="C24" s="19" t="str">
        <x:v>P1</x:v>
      </x:c>
      <x:c r="D24" s="19" t="str">
        <x:v>DCC_EXACT</x:v>
      </x:c>
      <x:c r="E24" s="19" t="n">
        <x:v>18</x:v>
      </x:c>
      <x:c r="F24" s="19" t="n">
        <x:v>160</x:v>
      </x:c>
      <x:c r="G24" s="19"/>
      <x:c r="H24" s="19" t="n">
        <x:v>512</x:v>
      </x:c>
      <x:c r="I24" s="19" t="str">
        <x:v>Not started</x:v>
      </x:c>
      <x:c r="J24" s="19" t="str">
        <x:v>Unassigned</x:v>
      </x:c>
    </x:row>
    <x:row r="25" ht="46" customHeight="1">
      <x:c r="A25" s="19" t="str">
        <x:v>M15</x:v>
      </x:c>
      <x:c r="B25" s="19" t="str">
        <x:v>Waterfront railing</x:v>
      </x:c>
      <x:c r="C25" s="19" t="str">
        <x:v>P0</x:v>
      </x:c>
      <x:c r="D25" s="19" t="str">
        <x:v>DCC_EXACT</x:v>
      </x:c>
      <x:c r="E25" s="19" t="n">
        <x:v>10</x:v>
      </x:c>
      <x:c r="F25" s="19" t="n">
        <x:v>450</x:v>
      </x:c>
      <x:c r="G25" s="19"/>
      <x:c r="H25" s="19" t="n">
        <x:v>512</x:v>
      </x:c>
      <x:c r="I25" s="19" t="str">
        <x:v>Not started</x:v>
      </x:c>
      <x:c r="J25" s="19" t="str">
        <x:v>Unassigned</x:v>
      </x:c>
    </x:row>
    <x:row r="26" ht="46" customHeight="1">
      <x:c r="A26" s="19" t="str">
        <x:v>M16</x:v>
      </x:c>
      <x:c r="B26" s="19" t="str">
        <x:v>Roof parapet</x:v>
      </x:c>
      <x:c r="C26" s="19" t="str">
        <x:v>P1</x:v>
      </x:c>
      <x:c r="D26" s="19" t="str">
        <x:v>DCC_EXACT</x:v>
      </x:c>
      <x:c r="E26" s="19" t="n">
        <x:v>6</x:v>
      </x:c>
      <x:c r="F26" s="19" t="n">
        <x:v>250</x:v>
      </x:c>
      <x:c r="G26" s="19"/>
      <x:c r="H26" s="19" t="n">
        <x:v>512</x:v>
      </x:c>
      <x:c r="I26" s="19" t="str">
        <x:v>Not started</x:v>
      </x:c>
      <x:c r="J26" s="19" t="str">
        <x:v>Unassigned</x:v>
      </x:c>
    </x:row>
    <x:row r="27" ht="46" customHeight="1">
      <x:c r="A27" s="19" t="str">
        <x:v>M17</x:v>
      </x:c>
      <x:c r="B27" s="19" t="str">
        <x:v>Vinyl storefront sign</x:v>
      </x:c>
      <x:c r="C27" s="19" t="str">
        <x:v>P0</x:v>
      </x:c>
      <x:c r="D27" s="19" t="str">
        <x:v>DCC_EXACT</x:v>
      </x:c>
      <x:c r="E27" s="19" t="n">
        <x:v>1</x:v>
      </x:c>
      <x:c r="F27" s="19" t="n">
        <x:v>750</x:v>
      </x:c>
      <x:c r="G27" s="19"/>
      <x:c r="H27" s="19" t="n">
        <x:v>512</x:v>
      </x:c>
      <x:c r="I27" s="19" t="str">
        <x:v>Not started</x:v>
      </x:c>
      <x:c r="J27" s="19" t="str">
        <x:v>Unassigned</x:v>
      </x:c>
    </x:row>
    <x:row r="28" ht="46" customHeight="1">
      <x:c r="A28" s="19" t="str">
        <x:v>M18</x:v>
      </x:c>
      <x:c r="B28" s="19" t="str">
        <x:v>Shop shutter</x:v>
      </x:c>
      <x:c r="C28" s="19" t="str">
        <x:v>P2</x:v>
      </x:c>
      <x:c r="D28" s="19" t="str">
        <x:v>DCC_EXACT</x:v>
      </x:c>
      <x:c r="E28" s="19" t="n">
        <x:v>1</x:v>
      </x:c>
      <x:c r="F28" s="19" t="n">
        <x:v>300</x:v>
      </x:c>
      <x:c r="G28" s="19"/>
      <x:c r="H28" s="19" t="n">
        <x:v>512</x:v>
      </x:c>
      <x:c r="I28" s="19" t="str">
        <x:v>Not started</x:v>
      </x:c>
      <x:c r="J28" s="19" t="str">
        <x:v>Unassigned</x:v>
      </x:c>
    </x:row>
    <x:row r="29" ht="46" customHeight="1">
      <x:c r="A29" s="19" t="str">
        <x:v>P01</x:v>
      </x:c>
      <x:c r="B29" s="19" t="str">
        <x:v>Studio workbench</x:v>
      </x:c>
      <x:c r="C29" s="19" t="str">
        <x:v>P0</x:v>
      </x:c>
      <x:c r="D29" s="19" t="str">
        <x:v>TRIPO_PROP</x:v>
      </x:c>
      <x:c r="E29" s="19" t="n">
        <x:v>2</x:v>
      </x:c>
      <x:c r="F29" s="19" t="n">
        <x:v>900</x:v>
      </x:c>
      <x:c r="G29" s="19" t="n">
        <x:v>700</x:v>
      </x:c>
      <x:c r="H29" s="19" t="n">
        <x:v>512</x:v>
      </x:c>
      <x:c r="I29" s="19" t="str">
        <x:v>Not started</x:v>
      </x:c>
      <x:c r="J29" s="19" t="str">
        <x:v>Unassigned</x:v>
      </x:c>
    </x:row>
    <x:row r="30" ht="46" customHeight="1">
      <x:c r="A30" s="19" t="str">
        <x:v>P02</x:v>
      </x:c>
      <x:c r="B30" s="19" t="str">
        <x:v>Round workshop stool</x:v>
      </x:c>
      <x:c r="C30" s="19" t="str">
        <x:v>P1</x:v>
      </x:c>
      <x:c r="D30" s="19" t="str">
        <x:v>TRIPO_PROP</x:v>
      </x:c>
      <x:c r="E30" s="19" t="n">
        <x:v>3</x:v>
      </x:c>
      <x:c r="F30" s="19" t="n">
        <x:v>450</x:v>
      </x:c>
      <x:c r="G30" s="19" t="n">
        <x:v>350</x:v>
      </x:c>
      <x:c r="H30" s="19" t="n">
        <x:v>512</x:v>
      </x:c>
      <x:c r="I30" s="19" t="str">
        <x:v>Not started</x:v>
      </x:c>
      <x:c r="J30" s="19" t="str">
        <x:v>Unassigned</x:v>
      </x:c>
    </x:row>
    <x:row r="31" ht="46" customHeight="1">
      <x:c r="A31" s="19" t="str">
        <x:v>P03</x:v>
      </x:c>
      <x:c r="B31" s="19" t="str">
        <x:v>Listening bench</x:v>
      </x:c>
      <x:c r="C31" s="19" t="str">
        <x:v>P1</x:v>
      </x:c>
      <x:c r="D31" s="19" t="str">
        <x:v>TRIPO_PROP</x:v>
      </x:c>
      <x:c r="E31" s="19" t="n">
        <x:v>2</x:v>
      </x:c>
      <x:c r="F31" s="19" t="n">
        <x:v>650</x:v>
      </x:c>
      <x:c r="G31" s="19" t="n">
        <x:v>500</x:v>
      </x:c>
      <x:c r="H31" s="19" t="n">
        <x:v>512</x:v>
      </x:c>
      <x:c r="I31" s="19" t="str">
        <x:v>Not started</x:v>
      </x:c>
      <x:c r="J31" s="19" t="str">
        <x:v>Unassigned</x:v>
      </x:c>
    </x:row>
    <x:row r="32" ht="46" customHeight="1">
      <x:c r="A32" s="19" t="str">
        <x:v>P04</x:v>
      </x:c>
      <x:c r="B32" s="19" t="str">
        <x:v>Record browsing bin</x:v>
      </x:c>
      <x:c r="C32" s="19" t="str">
        <x:v>P1</x:v>
      </x:c>
      <x:c r="D32" s="19" t="str">
        <x:v>HYBRID_TRIPO</x:v>
      </x:c>
      <x:c r="E32" s="19" t="n">
        <x:v>3</x:v>
      </x:c>
      <x:c r="F32" s="19" t="n">
        <x:v>800</x:v>
      </x:c>
      <x:c r="G32" s="19" t="n">
        <x:v>650</x:v>
      </x:c>
      <x:c r="H32" s="19" t="n">
        <x:v>512</x:v>
      </x:c>
      <x:c r="I32" s="19" t="str">
        <x:v>Not started</x:v>
      </x:c>
      <x:c r="J32" s="19" t="str">
        <x:v>Unassigned</x:v>
      </x:c>
    </x:row>
    <x:row r="33" ht="46" customHeight="1">
      <x:c r="A33" s="19" t="str">
        <x:v>P05</x:v>
      </x:c>
      <x:c r="B33" s="19" t="str">
        <x:v>Wall shelf</x:v>
      </x:c>
      <x:c r="C33" s="19" t="str">
        <x:v>P1</x:v>
      </x:c>
      <x:c r="D33" s="19" t="str">
        <x:v>TRIPO_PROP</x:v>
      </x:c>
      <x:c r="E33" s="19" t="n">
        <x:v>3</x:v>
      </x:c>
      <x:c r="F33" s="19" t="n">
        <x:v>300</x:v>
      </x:c>
      <x:c r="G33" s="19" t="n">
        <x:v>250</x:v>
      </x:c>
      <x:c r="H33" s="19" t="n">
        <x:v>512</x:v>
      </x:c>
      <x:c r="I33" s="19" t="str">
        <x:v>Not started</x:v>
      </x:c>
      <x:c r="J33" s="19" t="str">
        <x:v>Unassigned</x:v>
      </x:c>
    </x:row>
    <x:row r="34" ht="46" customHeight="1">
      <x:c r="A34" s="19" t="str">
        <x:v>P06</x:v>
      </x:c>
      <x:c r="B34" s="19" t="str">
        <x:v>Storage crate</x:v>
      </x:c>
      <x:c r="C34" s="19" t="str">
        <x:v>P0</x:v>
      </x:c>
      <x:c r="D34" s="19" t="str">
        <x:v>TRIPO_PROP</x:v>
      </x:c>
      <x:c r="E34" s="19" t="n">
        <x:v>5</x:v>
      </x:c>
      <x:c r="F34" s="19" t="n">
        <x:v>350</x:v>
      </x:c>
      <x:c r="G34" s="19" t="n">
        <x:v>280</x:v>
      </x:c>
      <x:c r="H34" s="19" t="n">
        <x:v>512</x:v>
      </x:c>
      <x:c r="I34" s="19" t="str">
        <x:v>Not started</x:v>
      </x:c>
      <x:c r="J34" s="19" t="str">
        <x:v>Unassigned</x:v>
      </x:c>
    </x:row>
    <x:row r="35" ht="46" customHeight="1">
      <x:c r="A35" s="19" t="str">
        <x:v>P07</x:v>
      </x:c>
      <x:c r="B35" s="19" t="str">
        <x:v>Headphones</x:v>
      </x:c>
      <x:c r="C35" s="19" t="str">
        <x:v>P1</x:v>
      </x:c>
      <x:c r="D35" s="19" t="str">
        <x:v>TRIPO_PROP</x:v>
      </x:c>
      <x:c r="E35" s="19" t="n">
        <x:v>1</x:v>
      </x:c>
      <x:c r="F35" s="19" t="n">
        <x:v>1000</x:v>
      </x:c>
      <x:c r="G35" s="19" t="n">
        <x:v>800</x:v>
      </x:c>
      <x:c r="H35" s="19" t="n">
        <x:v>512</x:v>
      </x:c>
      <x:c r="I35" s="19" t="str">
        <x:v>Not started</x:v>
      </x:c>
      <x:c r="J35" s="19" t="str">
        <x:v>Unassigned</x:v>
      </x:c>
    </x:row>
    <x:row r="36" ht="46" customHeight="1">
      <x:c r="A36" s="19" t="str">
        <x:v>P08</x:v>
      </x:c>
      <x:c r="B36" s="19" t="str">
        <x:v>Woven studio rug</x:v>
      </x:c>
      <x:c r="C36" s="19" t="str">
        <x:v>P1</x:v>
      </x:c>
      <x:c r="D36" s="19" t="str">
        <x:v>DCC_EXACT</x:v>
      </x:c>
      <x:c r="E36" s="19" t="n">
        <x:v>1</x:v>
      </x:c>
      <x:c r="F36" s="19" t="n">
        <x:v>24</x:v>
      </x:c>
      <x:c r="G36" s="19"/>
      <x:c r="H36" s="19" t="n">
        <x:v>512</x:v>
      </x:c>
      <x:c r="I36" s="19" t="str">
        <x:v>Not started</x:v>
      </x:c>
      <x:c r="J36" s="19" t="str">
        <x:v>Unassigned</x:v>
      </x:c>
    </x:row>
    <x:row r="37" ht="46" customHeight="1">
      <x:c r="A37" s="19" t="str">
        <x:v>P09</x:v>
      </x:c>
      <x:c r="B37" s="19" t="str">
        <x:v>Cable-run kit</x:v>
      </x:c>
      <x:c r="C37" s="19" t="str">
        <x:v>P0</x:v>
      </x:c>
      <x:c r="D37" s="19" t="str">
        <x:v>DCC_EXACT</x:v>
      </x:c>
      <x:c r="E37" s="19" t="n">
        <x:v>8</x:v>
      </x:c>
      <x:c r="F37" s="19" t="n">
        <x:v>220</x:v>
      </x:c>
      <x:c r="G37" s="19"/>
      <x:c r="H37" s="19" t="n">
        <x:v>512</x:v>
      </x:c>
      <x:c r="I37" s="19" t="str">
        <x:v>Not started</x:v>
      </x:c>
      <x:c r="J37" s="19" t="str">
        <x:v>Unassigned</x:v>
      </x:c>
    </x:row>
    <x:row r="38" ht="46" customHeight="1">
      <x:c r="A38" s="19" t="str">
        <x:v>P10</x:v>
      </x:c>
      <x:c r="B38" s="19" t="str">
        <x:v>Cable coil</x:v>
      </x:c>
      <x:c r="C38" s="19" t="str">
        <x:v>P2</x:v>
      </x:c>
      <x:c r="D38" s="19" t="str">
        <x:v>DCC_EXACT</x:v>
      </x:c>
      <x:c r="E38" s="19" t="n">
        <x:v>2</x:v>
      </x:c>
      <x:c r="F38" s="19" t="n">
        <x:v>450</x:v>
      </x:c>
      <x:c r="G38" s="19"/>
      <x:c r="H38" s="19" t="n">
        <x:v>512</x:v>
      </x:c>
      <x:c r="I38" s="19" t="str">
        <x:v>Not started</x:v>
      </x:c>
      <x:c r="J38" s="19" t="str">
        <x:v>Unassigned</x:v>
      </x:c>
    </x:row>
    <x:row r="39" ht="46" customHeight="1">
      <x:c r="A39" s="19" t="str">
        <x:v>P11</x:v>
      </x:c>
      <x:c r="B39" s="19" t="str">
        <x:v>Planter pot</x:v>
      </x:c>
      <x:c r="C39" s="19" t="str">
        <x:v>P1</x:v>
      </x:c>
      <x:c r="D39" s="19" t="str">
        <x:v>TRIPO_PROP</x:v>
      </x:c>
      <x:c r="E39" s="19" t="n">
        <x:v>6</x:v>
      </x:c>
      <x:c r="F39" s="19" t="n">
        <x:v>400</x:v>
      </x:c>
      <x:c r="G39" s="19" t="n">
        <x:v>300</x:v>
      </x:c>
      <x:c r="H39" s="19" t="n">
        <x:v>512</x:v>
      </x:c>
      <x:c r="I39" s="19" t="str">
        <x:v>Not started</x:v>
      </x:c>
      <x:c r="J39" s="19" t="str">
        <x:v>Unassigned</x:v>
      </x:c>
    </x:row>
    <x:row r="40" ht="46" customHeight="1">
      <x:c r="A40" s="19" t="str">
        <x:v>P12</x:v>
      </x:c>
      <x:c r="B40" s="19" t="str">
        <x:v>Broad-leaf plant cluster</x:v>
      </x:c>
      <x:c r="C40" s="19" t="str">
        <x:v>P1</x:v>
      </x:c>
      <x:c r="D40" s="19" t="str">
        <x:v>TRIPO_PROP</x:v>
      </x:c>
      <x:c r="E40" s="19" t="n">
        <x:v>8</x:v>
      </x:c>
      <x:c r="F40" s="19" t="n">
        <x:v>550</x:v>
      </x:c>
      <x:c r="G40" s="19" t="n">
        <x:v>450</x:v>
      </x:c>
      <x:c r="H40" s="19" t="n">
        <x:v>512</x:v>
      </x:c>
      <x:c r="I40" s="19" t="str">
        <x:v>Not started</x:v>
      </x:c>
      <x:c r="J40" s="19" t="str">
        <x:v>Unassigned</x:v>
      </x:c>
    </x:row>
    <x:row r="41" ht="46" customHeight="1">
      <x:c r="A41" s="19" t="str">
        <x:v>P13</x:v>
      </x:c>
      <x:c r="B41" s="19" t="str">
        <x:v>Wall / pendant lamp family</x:v>
      </x:c>
      <x:c r="C41" s="19" t="str">
        <x:v>P0</x:v>
      </x:c>
      <x:c r="D41" s="19" t="str">
        <x:v>HYBRID_TRIPO</x:v>
      </x:c>
      <x:c r="E41" s="19" t="n">
        <x:v>4</x:v>
      </x:c>
      <x:c r="F41" s="19" t="n">
        <x:v>500</x:v>
      </x:c>
      <x:c r="G41" s="19" t="n">
        <x:v>400</x:v>
      </x:c>
      <x:c r="H41" s="19" t="n">
        <x:v>512</x:v>
      </x:c>
      <x:c r="I41" s="19" t="str">
        <x:v>Not started</x:v>
      </x:c>
      <x:c r="J41" s="19" t="str">
        <x:v>Unassigned</x:v>
      </x:c>
    </x:row>
    <x:row r="42" ht="46" customHeight="1">
      <x:c r="A42" s="19" t="str">
        <x:v>P14</x:v>
      </x:c>
      <x:c r="B42" s="19" t="str">
        <x:v>Utility junction box</x:v>
      </x:c>
      <x:c r="C42" s="19" t="str">
        <x:v>P0</x:v>
      </x:c>
      <x:c r="D42" s="19" t="str">
        <x:v>HYBRID_TRIPO</x:v>
      </x:c>
      <x:c r="E42" s="19" t="n">
        <x:v>2</x:v>
      </x:c>
      <x:c r="F42" s="19" t="n">
        <x:v>400</x:v>
      </x:c>
      <x:c r="G42" s="19" t="n">
        <x:v>300</x:v>
      </x:c>
      <x:c r="H42" s="19" t="n">
        <x:v>512</x:v>
      </x:c>
      <x:c r="I42" s="19" t="str">
        <x:v>Not started</x:v>
      </x:c>
      <x:c r="J42" s="19" t="str">
        <x:v>Unassigned</x:v>
      </x:c>
    </x:row>
    <x:row r="43" ht="46" customHeight="1">
      <x:c r="A43" s="19" t="str">
        <x:v>P15</x:v>
      </x:c>
      <x:c r="B43" s="19" t="str">
        <x:v>Repair-bench clutter cluster</x:v>
      </x:c>
      <x:c r="C43" s="19" t="str">
        <x:v>P2</x:v>
      </x:c>
      <x:c r="D43" s="19" t="str">
        <x:v>DCC_EXACT</x:v>
      </x:c>
      <x:c r="E43" s="19" t="n">
        <x:v>1</x:v>
      </x:c>
      <x:c r="F43" s="19" t="n">
        <x:v>650</x:v>
      </x:c>
      <x:c r="G43" s="19"/>
      <x:c r="H43" s="19" t="n">
        <x:v>512</x:v>
      </x:c>
      <x:c r="I43" s="19" t="str">
        <x:v>Not started</x:v>
      </x:c>
      <x:c r="J43" s="19" t="str">
        <x:v>Unassigned</x:v>
      </x:c>
    </x:row>
    <x:row r="44" ht="46" customHeight="1">
      <x:c r="A44" s="19" t="str">
        <x:v>P16</x:v>
      </x:c>
      <x:c r="B44" s="19" t="str">
        <x:v>Rooftop vent / duct</x:v>
      </x:c>
      <x:c r="C44" s="19" t="str">
        <x:v>P0</x:v>
      </x:c>
      <x:c r="D44" s="19" t="str">
        <x:v>HYBRID_TRIPO</x:v>
      </x:c>
      <x:c r="E44" s="19" t="n">
        <x:v>2</x:v>
      </x:c>
      <x:c r="F44" s="19" t="n">
        <x:v>500</x:v>
      </x:c>
      <x:c r="G44" s="19" t="n">
        <x:v>400</x:v>
      </x:c>
      <x:c r="H44" s="19" t="n">
        <x:v>512</x:v>
      </x:c>
      <x:c r="I44" s="19" t="str">
        <x:v>Not started</x:v>
      </x:c>
      <x:c r="J44" s="19" t="str">
        <x:v>Unassigned</x:v>
      </x:c>
    </x:row>
    <x:row r="45" ht="46" customHeight="1">
      <x:c r="A45" s="19" t="str">
        <x:v>I01</x:v>
      </x:c>
      <x:c r="B45" s="19" t="str">
        <x:v>Metal strike-sign discovery node</x:v>
      </x:c>
      <x:c r="C45" s="19" t="str">
        <x:v>P0</x:v>
      </x:c>
      <x:c r="D45" s="19" t="str">
        <x:v>HYBRID_TRIPO</x:v>
      </x:c>
      <x:c r="E45" s="19" t="n">
        <x:v>1</x:v>
      </x:c>
      <x:c r="F45" s="19" t="n">
        <x:v>300</x:v>
      </x:c>
      <x:c r="G45" s="19" t="n">
        <x:v>250</x:v>
      </x:c>
      <x:c r="H45" s="19" t="n">
        <x:v>512</x:v>
      </x:c>
      <x:c r="I45" s="19" t="str">
        <x:v>Not started</x:v>
      </x:c>
      <x:c r="J45" s="19" t="str">
        <x:v>Unassigned</x:v>
      </x:c>
    </x:row>
    <x:row r="46" ht="46" customHeight="1">
      <x:c r="A46" s="19" t="str">
        <x:v>I02</x:v>
      </x:c>
      <x:c r="B46" s="19" t="str">
        <x:v>Vent-thump discovery binding</x:v>
      </x:c>
      <x:c r="C46" s="19" t="str">
        <x:v>P0</x:v>
      </x:c>
      <x:c r="D46" s="19" t="str">
        <x:v>GAMEPLAY_BINDING</x:v>
      </x:c>
      <x:c r="E46" s="19" t="n">
        <x:v>1</x:v>
      </x:c>
      <x:c r="F46" s="19"/>
      <x:c r="G46" s="19"/>
      <x:c r="H46" s="19"/>
      <x:c r="I46" s="19" t="str">
        <x:v>Not started</x:v>
      </x:c>
      <x:c r="J46" s="19" t="str">
        <x:v>Unassigned</x:v>
      </x:c>
    </x:row>
    <x:row r="47" ht="46" customHeight="1">
      <x:c r="A47" s="19" t="str">
        <x:v>I03</x:v>
      </x:c>
      <x:c r="B47" s="19" t="str">
        <x:v>Robot-chirp discovery binding</x:v>
      </x:c>
      <x:c r="C47" s="19" t="str">
        <x:v>P0</x:v>
      </x:c>
      <x:c r="D47" s="19" t="str">
        <x:v>GAMEPLAY_BINDING</x:v>
      </x:c>
      <x:c r="E47" s="19" t="n">
        <x:v>1</x:v>
      </x:c>
      <x:c r="F47" s="19"/>
      <x:c r="G47" s="19"/>
      <x:c r="H47" s="19"/>
      <x:c r="I47" s="19" t="str">
        <x:v>Not started</x:v>
      </x:c>
      <x:c r="J47" s="19" t="str">
        <x:v>Unassigned</x:v>
      </x:c>
    </x:row>
    <x:row r="48" ht="46" customHeight="1">
      <x:c r="A48" s="19" t="str">
        <x:v>I04</x:v>
      </x:c>
      <x:c r="B48" s="19" t="str">
        <x:v>Workshop resonator junction</x:v>
      </x:c>
      <x:c r="C48" s="19" t="str">
        <x:v>P0</x:v>
      </x:c>
      <x:c r="D48" s="19" t="str">
        <x:v>HYBRID_TRIPO</x:v>
      </x:c>
      <x:c r="E48" s="19" t="n">
        <x:v>1</x:v>
      </x:c>
      <x:c r="F48" s="19" t="n">
        <x:v>650</x:v>
      </x:c>
      <x:c r="G48" s="19" t="n">
        <x:v>500</x:v>
      </x:c>
      <x:c r="H48" s="19" t="n">
        <x:v>512</x:v>
      </x:c>
      <x:c r="I48" s="19" t="str">
        <x:v>Not started</x:v>
      </x:c>
      <x:c r="J48" s="19" t="str">
        <x:v>Unassigned</x:v>
      </x:c>
    </x:row>
    <x:row r="49" ht="46" customHeight="1">
      <x:c r="A49" s="19" t="str">
        <x:v>I05</x:v>
      </x:c>
      <x:c r="B49" s="19" t="str">
        <x:v>Listening-stage control podium</x:v>
      </x:c>
      <x:c r="C49" s="19" t="str">
        <x:v>P1</x:v>
      </x:c>
      <x:c r="D49" s="19" t="str">
        <x:v>HYBRID_TRIPO</x:v>
      </x:c>
      <x:c r="E49" s="19" t="n">
        <x:v>1</x:v>
      </x:c>
      <x:c r="F49" s="19" t="n">
        <x:v>800</x:v>
      </x:c>
      <x:c r="G49" s="19" t="n">
        <x:v>650</x:v>
      </x:c>
      <x:c r="H49" s="19" t="n">
        <x:v>512</x:v>
      </x:c>
      <x:c r="I49" s="19" t="str">
        <x:v>Not started</x:v>
      </x:c>
      <x:c r="J49" s="19" t="str">
        <x:v>Unassigned</x:v>
      </x:c>
    </x:row>
    <x:row r="50" ht="46" customHeight="1">
      <x:c r="A50" s="19" t="str">
        <x:v>W01</x:v>
      </x:c>
      <x:c r="B50" s="19" t="str">
        <x:v>Courtyard listening-stage assembly</x:v>
      </x:c>
      <x:c r="C50" s="19" t="str">
        <x:v>P1</x:v>
      </x:c>
      <x:c r="D50" s="19" t="str">
        <x:v>STUDIO_ASSEMBLY</x:v>
      </x:c>
      <x:c r="E50" s="19" t="n">
        <x:v>1</x:v>
      </x:c>
      <x:c r="F50" s="19"/>
      <x:c r="G50" s="19"/>
      <x:c r="H50" s="19" t="n">
        <x:v>1024</x:v>
      </x:c>
      <x:c r="I50" s="19" t="str">
        <x:v>Not started</x:v>
      </x:c>
      <x:c r="J50" s="19" t="str">
        <x:v>Unassigned</x:v>
      </x:c>
    </x:row>
    <x:row r="51" ht="46" customHeight="1">
      <x:c r="A51" s="19" t="str">
        <x:v>W02</x:v>
      </x:c>
      <x:c r="B51" s="19" t="str">
        <x:v>Waterfront edge and calm water</x:v>
      </x:c>
      <x:c r="C51" s="19" t="str">
        <x:v>P0</x:v>
      </x:c>
      <x:c r="D51" s="19" t="str">
        <x:v>STUDIO_ASSEMBLY</x:v>
      </x:c>
      <x:c r="E51" s="19" t="n">
        <x:v>1</x:v>
      </x:c>
      <x:c r="F51" s="19"/>
      <x:c r="G51" s="19"/>
      <x:c r="H51" s="19" t="n">
        <x:v>1024</x:v>
      </x:c>
      <x:c r="I51" s="19" t="str">
        <x:v>Not started</x:v>
      </x:c>
      <x:c r="J51" s="19" t="str">
        <x:v>Unassigned</x:v>
      </x:c>
    </x:row>
    <x:row r="52" ht="46" customHeight="1">
      <x:c r="A52" s="19" t="str">
        <x:v>W03</x:v>
      </x:c>
      <x:c r="B52" s="19" t="str">
        <x:v>Distant skyline cluster</x:v>
      </x:c>
      <x:c r="C52" s="19" t="str">
        <x:v>P1</x:v>
      </x:c>
      <x:c r="D52" s="19" t="str">
        <x:v>DCC_EXACT</x:v>
      </x:c>
      <x:c r="E52" s="19" t="n">
        <x:v>3</x:v>
      </x:c>
      <x:c r="F52" s="19" t="n">
        <x:v>1500</x:v>
      </x:c>
      <x:c r="G52" s="19"/>
      <x:c r="H52" s="19" t="n">
        <x:v>1024</x:v>
      </x:c>
      <x:c r="I52" s="19" t="str">
        <x:v>Not started</x:v>
      </x:c>
      <x:c r="J52" s="19" t="str">
        <x:v>Unassigned</x:v>
      </x:c>
    </x:row>
    <x:row r="53" ht="46" customHeight="1">
      <x:c r="A53" s="19" t="str">
        <x:v>W04</x:v>
      </x:c>
      <x:c r="B53" s="19" t="str">
        <x:v>Elevated transit / bridge silhouette</x:v>
      </x:c>
      <x:c r="C53" s="19" t="str">
        <x:v>P2</x:v>
      </x:c>
      <x:c r="D53" s="19" t="str">
        <x:v>DCC_EXACT</x:v>
      </x:c>
      <x:c r="E53" s="19" t="n">
        <x:v>1</x:v>
      </x:c>
      <x:c r="F53" s="19" t="n">
        <x:v>1600</x:v>
      </x:c>
      <x:c r="G53" s="19"/>
      <x:c r="H53" s="19" t="n">
        <x:v>1024</x:v>
      </x:c>
      <x:c r="I53" s="19" t="str">
        <x:v>Not started</x:v>
      </x:c>
      <x:c r="J53" s="19" t="str">
        <x:v>Unassigned</x:v>
      </x:c>
    </x:row>
    <x:row r="54" ht="46" customHeight="1">
      <x:c r="A54" s="19" t="str">
        <x:v>T01</x:v>
      </x:c>
      <x:c r="B54" s="19" t="str">
        <x:v>Equipment paint / trim material set</x:v>
      </x:c>
      <x:c r="C54" s="19" t="str">
        <x:v>P0</x:v>
      </x:c>
      <x:c r="D54" s="19" t="str">
        <x:v>MATERIAL_GRAPHICS</x:v>
      </x:c>
      <x:c r="E54" s="19" t="n">
        <x:v>1</x:v>
      </x:c>
      <x:c r="F54" s="19"/>
      <x:c r="G54" s="19"/>
      <x:c r="H54" s="19" t="n">
        <x:v>1024</x:v>
      </x:c>
      <x:c r="I54" s="19" t="str">
        <x:v>Not started</x:v>
      </x:c>
      <x:c r="J54" s="19" t="str">
        <x:v>Unassigned</x:v>
      </x:c>
    </x:row>
    <x:row r="55" ht="46" customHeight="1">
      <x:c r="A55" s="19" t="str">
        <x:v>T02</x:v>
      </x:c>
      <x:c r="B55" s="19" t="str">
        <x:v>Wood material set</x:v>
      </x:c>
      <x:c r="C55" s="19" t="str">
        <x:v>P0</x:v>
      </x:c>
      <x:c r="D55" s="19" t="str">
        <x:v>MATERIAL_GRAPHICS</x:v>
      </x:c>
      <x:c r="E55" s="19" t="n">
        <x:v>1</x:v>
      </x:c>
      <x:c r="F55" s="19"/>
      <x:c r="G55" s="19"/>
      <x:c r="H55" s="19" t="n">
        <x:v>1024</x:v>
      </x:c>
      <x:c r="I55" s="19" t="str">
        <x:v>Not started</x:v>
      </x:c>
      <x:c r="J55" s="19" t="str">
        <x:v>Unassigned</x:v>
      </x:c>
    </x:row>
    <x:row r="56" ht="46" customHeight="1">
      <x:c r="A56" s="19" t="str">
        <x:v>T03</x:v>
      </x:c>
      <x:c r="B56" s="19" t="str">
        <x:v>Masonry / paving material set</x:v>
      </x:c>
      <x:c r="C56" s="19" t="str">
        <x:v>P0</x:v>
      </x:c>
      <x:c r="D56" s="19" t="str">
        <x:v>MATERIAL_GRAPHICS</x:v>
      </x:c>
      <x:c r="E56" s="19" t="n">
        <x:v>1</x:v>
      </x:c>
      <x:c r="F56" s="19"/>
      <x:c r="G56" s="19"/>
      <x:c r="H56" s="19" t="n">
        <x:v>1024</x:v>
      </x:c>
      <x:c r="I56" s="19" t="str">
        <x:v>Not started</x:v>
      </x:c>
      <x:c r="J56" s="19" t="str">
        <x:v>Unassigned</x:v>
      </x:c>
    </x:row>
    <x:row r="57" ht="46" customHeight="1">
      <x:c r="A57" s="19" t="str">
        <x:v>T04</x:v>
      </x:c>
      <x:c r="B57" s="19" t="str">
        <x:v>Fabric / rubber material set</x:v>
      </x:c>
      <x:c r="C57" s="19" t="str">
        <x:v>P0</x:v>
      </x:c>
      <x:c r="D57" s="19" t="str">
        <x:v>MATERIAL_GRAPHICS</x:v>
      </x:c>
      <x:c r="E57" s="19" t="n">
        <x:v>1</x:v>
      </x:c>
      <x:c r="F57" s="19"/>
      <x:c r="G57" s="19"/>
      <x:c r="H57" s="19" t="n">
        <x:v>1024</x:v>
      </x:c>
      <x:c r="I57" s="19" t="str">
        <x:v>Not started</x:v>
      </x:c>
      <x:c r="J57" s="19" t="str">
        <x:v>Unassigned</x:v>
      </x:c>
    </x:row>
    <x:row r="58" ht="46" customHeight="1">
      <x:c r="A58" s="19" t="str">
        <x:v>G01</x:v>
      </x:c>
      <x:c r="B58" s="19" t="str">
        <x:v>Original record sleeve / label atlas</x:v>
      </x:c>
      <x:c r="C58" s="19" t="str">
        <x:v>P0</x:v>
      </x:c>
      <x:c r="D58" s="19" t="str">
        <x:v>MATERIAL_GRAPHICS</x:v>
      </x:c>
      <x:c r="E58" s="19" t="n">
        <x:v>1</x:v>
      </x:c>
      <x:c r="F58" s="19"/>
      <x:c r="G58" s="19"/>
      <x:c r="H58" s="19" t="n">
        <x:v>1024</x:v>
      </x:c>
      <x:c r="I58" s="19" t="str">
        <x:v>Not started</x:v>
      </x:c>
      <x:c r="J58" s="19" t="str">
        <x:v>Unassigned</x:v>
      </x:c>
    </x:row>
    <x:row r="59" ht="46" customHeight="1">
      <x:c r="A59" s="19" t="str">
        <x:v>G02</x:v>
      </x:c>
      <x:c r="B59" s="19" t="str">
        <x:v>Neighborhood poster / sticker atlas</x:v>
      </x:c>
      <x:c r="C59" s="19" t="str">
        <x:v>P1</x:v>
      </x:c>
      <x:c r="D59" s="19" t="str">
        <x:v>MATERIAL_GRAPHICS</x:v>
      </x:c>
      <x:c r="E59" s="19" t="n">
        <x:v>1</x:v>
      </x:c>
      <x:c r="F59" s="19"/>
      <x:c r="G59" s="19"/>
      <x:c r="H59" s="19" t="n">
        <x:v>1024</x:v>
      </x:c>
      <x:c r="I59" s="19" t="str">
        <x:v>Not started</x:v>
      </x:c>
      <x:c r="J59" s="19" t="str">
        <x:v>Unassigned</x:v>
      </x:c>
    </x:row>
    <x:row r="60" ht="46" customHeight="1">
      <x:c r="A60" s="19" t="str">
        <x:v>G03</x:v>
      </x:c>
      <x:c r="B60" s="19" t="str">
        <x:v>Equipment face / pad / icon atlas</x:v>
      </x:c>
      <x:c r="C60" s="19" t="str">
        <x:v>P0</x:v>
      </x:c>
      <x:c r="D60" s="19" t="str">
        <x:v>MATERIAL_GRAPHICS</x:v>
      </x:c>
      <x:c r="E60" s="19" t="n">
        <x:v>1</x:v>
      </x:c>
      <x:c r="F60" s="19"/>
      <x:c r="G60" s="19"/>
      <x:c r="H60" s="19" t="n">
        <x:v>1024</x:v>
      </x:c>
      <x:c r="I60" s="19" t="str">
        <x:v>Not started</x:v>
      </x:c>
      <x:c r="J60" s="19" t="str">
        <x:v>Unassigned</x:v>
      </x:c>
    </x:row>
    <x:row r="61" ht="46" customHeight="1">
      <x:c r="A61" s="19" t="str">
        <x:v>G04</x:v>
      </x:c>
      <x:c r="B61" s="19" t="str">
        <x:v>Wayfinding and status graphics</x:v>
      </x:c>
      <x:c r="C61" s="19" t="str">
        <x:v>P0</x:v>
      </x:c>
      <x:c r="D61" s="19" t="str">
        <x:v>MATERIAL_GRAPHICS</x:v>
      </x:c>
      <x:c r="E61" s="19" t="n">
        <x:v>1</x:v>
      </x:c>
      <x:c r="F61" s="19"/>
      <x:c r="G61" s="19"/>
      <x:c r="H61" s="19" t="n">
        <x:v>1024</x:v>
      </x:c>
      <x:c r="I61" s="19" t="str">
        <x:v>Not started</x:v>
      </x:c>
      <x:c r="J61" s="19" t="str">
        <x:v>Unassigned</x:v>
      </x:c>
    </x:row>
    <x:row r="62" ht="46" customHeight="1">
      <x:c r="A62" s="19" t="str">
        <x:v>A01</x:v>
      </x:c>
      <x:c r="B62" s="19" t="str">
        <x:v>Sampler pad feedback</x:v>
      </x:c>
      <x:c r="C62" s="19" t="str">
        <x:v>P0</x:v>
      </x:c>
      <x:c r="D62" s="19" t="str">
        <x:v>RIG_ANIMATION</x:v>
      </x:c>
      <x:c r="E62" s="19" t="n">
        <x:v>1</x:v>
      </x:c>
      <x:c r="F62" s="19"/>
      <x:c r="G62" s="19"/>
      <x:c r="H62" s="19"/>
      <x:c r="I62" s="19" t="str">
        <x:v>Not started</x:v>
      </x:c>
      <x:c r="J62" s="19" t="str">
        <x:v>Unassigned</x:v>
      </x:c>
    </x:row>
    <x:row r="63" ht="46" customHeight="1">
      <x:c r="A63" s="19" t="str">
        <x:v>A02</x:v>
      </x:c>
      <x:c r="B63" s="19" t="str">
        <x:v>Speaker cone response</x:v>
      </x:c>
      <x:c r="C63" s="19" t="str">
        <x:v>P1</x:v>
      </x:c>
      <x:c r="D63" s="19" t="str">
        <x:v>RIG_ANIMATION</x:v>
      </x:c>
      <x:c r="E63" s="19" t="n">
        <x:v>1</x:v>
      </x:c>
      <x:c r="F63" s="19"/>
      <x:c r="G63" s="19"/>
      <x:c r="H63" s="19"/>
      <x:c r="I63" s="19" t="str">
        <x:v>Not started</x:v>
      </x:c>
      <x:c r="J63" s="19" t="str">
        <x:v>Unassigned</x:v>
      </x:c>
    </x:row>
    <x:row r="64" ht="46" customHeight="1">
      <x:c r="A64" s="19" t="str">
        <x:v>A03</x:v>
      </x:c>
      <x:c r="B64" s="19" t="str">
        <x:v>Robot basic motion set</x:v>
      </x:c>
      <x:c r="C64" s="19" t="str">
        <x:v>P0</x:v>
      </x:c>
      <x:c r="D64" s="19" t="str">
        <x:v>RIG_ANIMATION</x:v>
      </x:c>
      <x:c r="E64" s="19" t="n">
        <x:v>1</x:v>
      </x:c>
      <x:c r="F64" s="19"/>
      <x:c r="G64" s="19"/>
      <x:c r="H64" s="19"/>
      <x:c r="I64" s="19" t="str">
        <x:v>Not started</x:v>
      </x:c>
      <x:c r="J64" s="19" t="str">
        <x:v>Unassigned</x:v>
      </x:c>
    </x:row>
    <x:row r="65" ht="46" customHeight="1">
      <x:c r="A65" s="19" t="str">
        <x:v>A04</x:v>
      </x:c>
      <x:c r="B65" s="19" t="str">
        <x:v>Robot celebration / carry set</x:v>
      </x:c>
      <x:c r="C65" s="19" t="str">
        <x:v>P1</x:v>
      </x:c>
      <x:c r="D65" s="19" t="str">
        <x:v>RIG_ANIMATION</x:v>
      </x:c>
      <x:c r="E65" s="19" t="n">
        <x:v>1</x:v>
      </x:c>
      <x:c r="F65" s="19"/>
      <x:c r="G65" s="19"/>
      <x:c r="H65" s="19"/>
      <x:c r="I65" s="19" t="str">
        <x:v>Not started</x:v>
      </x:c>
      <x:c r="J65" s="19" t="str">
        <x:v>Unassigned</x:v>
      </x:c>
    </x:row>
    <x:row r="66" ht="46" customHeight="1">
      <x:c r="A66" s="19" t="str">
        <x:v>A05</x:v>
      </x:c>
      <x:c r="B66" s="19" t="str">
        <x:v>Restoration reveal choreography</x:v>
      </x:c>
      <x:c r="C66" s="19" t="str">
        <x:v>P1</x:v>
      </x:c>
      <x:c r="D66" s="19" t="str">
        <x:v>RIG_ANIMATION</x:v>
      </x:c>
      <x:c r="E66" s="19" t="n">
        <x:v>1</x:v>
      </x:c>
      <x:c r="F66" s="19"/>
      <x:c r="G66" s="19"/>
      <x:c r="H66" s="19"/>
      <x:c r="I66" s="19" t="str">
        <x:v>Not started</x:v>
      </x:c>
      <x:c r="J66" s="19" t="str">
        <x:v>Unassigned</x:v>
      </x:c>
    </x:row>
    <x:row r="67" ht="46" customHeight="1">
      <x:c r="A67" s="19" t="str">
        <x:v>F01</x:v>
      </x:c>
      <x:c r="B67" s="19" t="str">
        <x:v>Dusk and practical-light presets</x:v>
      </x:c>
      <x:c r="C67" s="19" t="str">
        <x:v>P0</x:v>
      </x:c>
      <x:c r="D67" s="19" t="str">
        <x:v>GAMEPLAY_BINDING</x:v>
      </x:c>
      <x:c r="E67" s="19" t="n">
        <x:v>1</x:v>
      </x:c>
      <x:c r="F67" s="19"/>
      <x:c r="G67" s="19"/>
      <x:c r="H67" s="19"/>
      <x:c r="I67" s="19" t="str">
        <x:v>Not started</x:v>
      </x:c>
      <x:c r="J67" s="19" t="str">
        <x:v>Unassigned</x:v>
      </x:c>
    </x:row>
    <x:row r="68" ht="46" customHeight="1">
      <x:c r="A68" s="19" t="str">
        <x:v>F02</x:v>
      </x:c>
      <x:c r="B68" s="19" t="str">
        <x:v>Music-reactive visual preset</x:v>
      </x:c>
      <x:c r="C68" s="19" t="str">
        <x:v>P1</x:v>
      </x:c>
      <x:c r="D68" s="19" t="str">
        <x:v>GAMEPLAY_BINDING</x:v>
      </x:c>
      <x:c r="E68" s="19" t="n">
        <x:v>1</x:v>
      </x:c>
      <x:c r="F68" s="19"/>
      <x:c r="G68" s="19"/>
      <x:c r="H68" s="19"/>
      <x:c r="I68" s="19" t="str">
        <x:v>Not started</x:v>
      </x:c>
      <x:c r="J68" s="19" t="str">
        <x:v>Unassigned</x:v>
      </x:c>
    </x:row>
    <x:row r="69" ht="46" customHeight="1">
      <x:c r="A69" s="19" t="str">
        <x:v>F03</x:v>
      </x:c>
      <x:c r="B69" s="19" t="str">
        <x:v>Discovery feedback</x:v>
      </x:c>
      <x:c r="C69" s="19" t="str">
        <x:v>P0</x:v>
      </x:c>
      <x:c r="D69" s="19" t="str">
        <x:v>GAMEPLAY_BINDING</x:v>
      </x:c>
      <x:c r="E69" s="19" t="n">
        <x:v>1</x:v>
      </x:c>
      <x:c r="F69" s="19"/>
      <x:c r="G69" s="19"/>
      <x:c r="H69" s="19"/>
      <x:c r="I69" s="19" t="str">
        <x:v>Not started</x:v>
      </x:c>
      <x:c r="J69" s="19" t="str">
        <x:v>Unassigned</x:v>
      </x:c>
    </x:row>
    <x:row r="70" ht="46" customHeight="1">
      <x:c r="A70" s="19" t="str">
        <x:v>F04</x:v>
      </x:c>
      <x:c r="B70" s="19" t="str">
        <x:v>Ambient dust / water accents</x:v>
      </x:c>
      <x:c r="C70" s="19" t="str">
        <x:v>P2</x:v>
      </x:c>
      <x:c r="D70" s="19" t="str">
        <x:v>GAMEPLAY_BINDING</x:v>
      </x:c>
      <x:c r="E70" s="19" t="n">
        <x:v>1</x:v>
      </x:c>
      <x:c r="F70" s="19"/>
      <x:c r="G70" s="19"/>
      <x:c r="H70" s="19"/>
      <x:c r="I70" s="19" t="str">
        <x:v>Not started</x:v>
      </x:c>
      <x:c r="J70" s="19" t="str">
        <x:v>Unassigned</x:v>
      </x:c>
    </x:row>
    <x:row r="71" ht="46" customHeight="1">
      <x:c r="A71" s="19" t="str">
        <x:v>U01</x:v>
      </x:c>
      <x:c r="B71" s="19" t="str">
        <x:v>Workstation UI art kit</x:v>
      </x:c>
      <x:c r="C71" s="19" t="str">
        <x:v>P0</x:v>
      </x:c>
      <x:c r="D71" s="19" t="str">
        <x:v>UI_CODE</x:v>
      </x:c>
      <x:c r="E71" s="19" t="n">
        <x:v>1</x:v>
      </x:c>
      <x:c r="F71" s="19"/>
      <x:c r="G71" s="19"/>
      <x:c r="H71" s="19"/>
      <x:c r="I71" s="19" t="str">
        <x:v>Not started</x:v>
      </x:c>
      <x:c r="J71" s="19" t="str">
        <x:v>Unassigned</x:v>
      </x:c>
    </x:row>
    <x:row r="72" ht="46" customHeight="1">
      <x:c r="A72" s="19" t="str">
        <x:v>U02</x:v>
      </x:c>
      <x:c r="B72" s="19" t="str">
        <x:v>Discovery / sample card kit</x:v>
      </x:c>
      <x:c r="C72" s="19" t="str">
        <x:v>P0</x:v>
      </x:c>
      <x:c r="D72" s="19" t="str">
        <x:v>UI_CODE</x:v>
      </x:c>
      <x:c r="E72" s="19" t="n">
        <x:v>1</x:v>
      </x:c>
      <x:c r="F72" s="19"/>
      <x:c r="G72" s="19"/>
      <x:c r="H72" s="19"/>
      <x:c r="I72" s="19" t="str">
        <x:v>Not started</x:v>
      </x:c>
      <x:c r="J72" s="19" t="str">
        <x:v>Unassigned</x:v>
      </x:c>
    </x:row>
    <x:row r="73" ht="46" customHeight="1">
      <x:c r="A73" s="19" t="str">
        <x:v>U03</x:v>
      </x:c>
      <x:c r="B73" s="19" t="str">
        <x:v>Listening / session status kit</x:v>
      </x:c>
      <x:c r="C73" s="19" t="str">
        <x:v>P1</x:v>
      </x:c>
      <x:c r="D73" s="19" t="str">
        <x:v>UI_CODE</x:v>
      </x:c>
      <x:c r="E73" s="19" t="n">
        <x:v>1</x:v>
      </x:c>
      <x:c r="F73" s="19"/>
      <x:c r="G73" s="19"/>
      <x:c r="H73" s="19"/>
      <x:c r="I73" s="19" t="str">
        <x:v>Not started</x:v>
      </x:c>
      <x:c r="J73" s="19" t="str">
        <x:v>Unassigned</x:v>
      </x:c>
    </x:row>
    <x:row r="74" ht="46" customHeight="1">
      <x:c r="A74" s="19" t="str">
        <x:v>U04</x:v>
      </x:c>
      <x:c r="B74" s="19" t="str">
        <x:v>Save / restore feedback kit</x:v>
      </x:c>
      <x:c r="C74" s="19" t="str">
        <x:v>P0</x:v>
      </x:c>
      <x:c r="D74" s="19" t="str">
        <x:v>UI_CODE</x:v>
      </x:c>
      <x:c r="E74" s="19" t="n">
        <x:v>1</x:v>
      </x:c>
      <x:c r="F74" s="19"/>
      <x:c r="G74" s="19"/>
      <x:c r="H74" s="19"/>
      <x:c r="I74" s="19" t="str">
        <x:v>Not started</x:v>
      </x:c>
      <x:c r="J74" s="19" t="str">
        <x:v>Unassigned</x:v>
      </x:c>
    </x:row>
    <x:row r="75" ht="46" customHeight="1">
      <x:c r="A75" s="19" t="str">
        <x:v>S01</x:v>
      </x:c>
      <x:c r="B75" s="19" t="str">
        <x:v>Starter production sound bank</x:v>
      </x:c>
      <x:c r="C75" s="19" t="str">
        <x:v>P0</x:v>
      </x:c>
      <x:c r="D75" s="19" t="str">
        <x:v>AUTHORED_AUDIO</x:v>
      </x:c>
      <x:c r="E75" s="19" t="n">
        <x:v>1</x:v>
      </x:c>
      <x:c r="F75" s="19"/>
      <x:c r="G75" s="19"/>
      <x:c r="H75" s="19"/>
      <x:c r="I75" s="19" t="str">
        <x:v>Not started</x:v>
      </x:c>
      <x:c r="J75" s="19" t="str">
        <x:v>Unassigned</x:v>
      </x:c>
    </x:row>
    <x:row r="76" ht="46" customHeight="1">
      <x:c r="A76" s="19" t="str">
        <x:v>S02</x:v>
      </x:c>
      <x:c r="B76" s="19" t="str">
        <x:v>Discovery sample bank</x:v>
      </x:c>
      <x:c r="C76" s="19" t="str">
        <x:v>P0</x:v>
      </x:c>
      <x:c r="D76" s="19" t="str">
        <x:v>AUTHORED_AUDIO</x:v>
      </x:c>
      <x:c r="E76" s="19" t="n">
        <x:v>1</x:v>
      </x:c>
      <x:c r="F76" s="19"/>
      <x:c r="G76" s="19"/>
      <x:c r="H76" s="19"/>
      <x:c r="I76" s="19" t="str">
        <x:v>Not started</x:v>
      </x:c>
      <x:c r="J76" s="19" t="str">
        <x:v>Unassigned</x:v>
      </x:c>
    </x:row>
    <x:row r="77" ht="46" customHeight="1">
      <x:c r="A77" s="19" t="str">
        <x:v>S03</x:v>
      </x:c>
      <x:c r="B77" s="19" t="str">
        <x:v>Interaction and UI cue bank</x:v>
      </x:c>
      <x:c r="C77" s="19" t="str">
        <x:v>P0</x:v>
      </x:c>
      <x:c r="D77" s="19" t="str">
        <x:v>AUTHORED_AUDIO</x:v>
      </x:c>
      <x:c r="E77" s="19" t="n">
        <x:v>1</x:v>
      </x:c>
      <x:c r="F77" s="19"/>
      <x:c r="G77" s="19"/>
      <x:c r="H77" s="19"/>
      <x:c r="I77" s="19" t="str">
        <x:v>Not started</x:v>
      </x:c>
      <x:c r="J77" s="19" t="str">
        <x:v>Unassigned</x:v>
      </x:c>
    </x:row>
    <x:row r="78" ht="46" customHeight="1">
      <x:c r="A78" s="19" t="str">
        <x:v>S04</x:v>
      </x:c>
      <x:c r="B78" s="19" t="str">
        <x:v>Quiet waterfront ambience</x:v>
      </x:c>
      <x:c r="C78" s="19" t="str">
        <x:v>P1</x:v>
      </x:c>
      <x:c r="D78" s="19" t="str">
        <x:v>AUTHORED_AUDIO</x:v>
      </x:c>
      <x:c r="E78" s="19" t="n">
        <x:v>1</x:v>
      </x:c>
      <x:c r="F78" s="19"/>
      <x:c r="G78" s="19"/>
      <x:c r="H78" s="19"/>
      <x:c r="I78" s="19" t="str">
        <x:v>Not started</x:v>
      </x:c>
      <x:c r="J78" s="19" t="str">
        <x:v>Unassigned</x:v>
      </x:c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</x:sheetData>
  <x:mergeCells>
    <x:mergeCell ref="A1:J1"/>
    <x:mergeCell ref="A2:J2"/>
  </x:mergeCells>
  <x:conditionalFormatting sqref="I5:I78">
    <x:cfRule type="expression" dxfId="0" priority="1">
      <x:formula>I5="Blocked"</x:formula>
    </x:cfRule>
    <x:cfRule type="expression" dxfId="1" priority="2">
      <x:formula>I5="Runtime verified"</x:formula>
    </x:cfRule>
  </x:conditionalFormatting>
  <x:dataValidations count="2">
    <x:dataValidation type="list" sqref="I5:I78">
      <x:formula1>"Not started,Blocked,In progress,Candidate,DCC approved,Studio imported,Runtime verified"</x:formula1>
    </x:dataValidation>
    <x:dataValidation type="list" sqref="C5:C7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2a8f6872284a71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29" hidden="0" customWidth="1"/>
    <x:col min="3" max="3" width="26" hidden="0" customWidth="1"/>
    <x:col min="4" max="4" width="34" hidden="0" customWidth="1"/>
    <x:col min="5" max="5" width="36" hidden="0" customWidth="1"/>
    <x:col min="6" max="6" width="38" hidden="0" customWidth="1"/>
    <x:col min="7" max="7" width="22" hidden="0" customWidth="1"/>
    <x:col min="8" max="8" width="40" hidden="0" customWidth="1"/>
  </x:cols>
  <x:sheetData>
    <x:row r="1" ht="32" customHeight="1">
      <x:c r="A1" s="5" t="str">
        <x:v>BUILD CONTRACTS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0" t="str">
        <x:v>Detailed construction contracts. Dimensions are X x Y x Z unless the brief explicitly says otherwise; verify in the graybox.</x:v>
      </x:c>
      <x:c r="B2" s="10"/>
      <x:c r="C2" s="10"/>
      <x:c r="D2" s="10"/>
      <x:c r="E2" s="10"/>
      <x:c r="F2" s="10"/>
      <x:c r="G2" s="10"/>
      <x:c r="H2" s="10"/>
    </x:row>
    <x:row r="3">
      <x:c r="A3" s="2"/>
      <x:c r="B3" s="2"/>
      <x:c r="C3" s="2"/>
      <x:c r="D3" s="2"/>
      <x:c r="E3" s="2"/>
      <x:c r="F3" s="2"/>
      <x:c r="G3" s="2"/>
      <x:c r="H3" s="2"/>
    </x:row>
    <x:row r="4" ht="32" customHeight="1">
      <x:c r="A4" s="15" t="str">
        <x:v>ID</x:v>
      </x:c>
      <x:c r="B4" s="15" t="str">
        <x:v>Asset</x:v>
      </x:c>
      <x:c r="C4" s="15" t="str">
        <x:v>Dimensions</x:v>
      </x:c>
      <x:c r="D4" s="15" t="str">
        <x:v>Pivot / forward</x:v>
      </x:c>
      <x:c r="E4" s="15" t="str">
        <x:v>Collision</x:v>
      </x:c>
      <x:c r="F4" s="15" t="str">
        <x:v>Separate / moving parts</x:v>
      </x:c>
      <x:c r="G4" s="15" t="str">
        <x:v>Dependencies</x:v>
      </x:c>
      <x:c r="H4" s="15" t="str">
        <x:v>Acceptance</x:v>
      </x:c>
    </x:row>
    <x:row r="5" ht="80" customHeight="1">
      <x:c r="A5" s="19" t="str">
        <x:v>H01</x:v>
      </x:c>
      <x:c r="B5" s="19" t="str">
        <x:v>MK-I sampler workstation</x:v>
      </x:c>
      <x:c r="C5" s="19" t="str">
        <x:v>6 x 1.25 x 4 studs</x:v>
      </x:c>
      <x:c r="D5" s="19" t="str">
        <x:v>Bottom-center; controls face -Z</x:v>
      </x:c>
      <x:c r="E5" s="19" t="str">
        <x:v>One optional query proxy; no decorative collisions</x:v>
      </x:c>
      <x:c r="F5" s="19" t="str">
        <x:v>16 logical pad targets; screen plane; optional pad travel</x:v>
      </x:c>
      <x:c r="G5" s="19" t="str">
        <x:v>T01; G03; U01</x:v>
      </x:c>
      <x:c r="H5" s="19" t="str">
        <x:v>16 correctly mapped pads; screen separate; readable at play distance; no baked labels needed for gameplay.</x:v>
      </x:c>
    </x:row>
    <x:row r="6" ht="80" customHeight="1">
      <x:c r="A6" s="19" t="str">
        <x:v>H02</x:v>
      </x:c>
      <x:c r="B6" s="19" t="str">
        <x:v>Compact speaker stack</x:v>
      </x:c>
      <x:c r="C6" s="19" t="str">
        <x:v>4 x 8 x 3 studs</x:v>
      </x:c>
      <x:c r="D6" s="19" t="str">
        <x:v>Floor-center; cone forward -Z</x:v>
      </x:c>
      <x:c r="E6" s="19" t="str">
        <x:v>Simple box, not cone mesh</x:v>
      </x:c>
      <x:c r="F6" s="19" t="str">
        <x:v>Woofer / horn face targets; no physics vibration</x:v>
      </x:c>
      <x:c r="G6" s="19" t="str">
        <x:v>T01</x:v>
      </x:c>
      <x:c r="H6" s="19" t="str">
        <x:v>Stacking socket aligned; cone child named; no animated collision; quiet state visually complete.</x:v>
      </x:c>
    </x:row>
    <x:row r="7" ht="80" customHeight="1">
      <x:c r="A7" s="19" t="str">
        <x:v>H03</x:v>
      </x:c>
      <x:c r="B7" s="19" t="str">
        <x:v>Vinyl crate and record insert</x:v>
      </x:c>
      <x:c r="C7" s="19" t="str">
        <x:v>3 x 2.5 x 3 studs</x:v>
      </x:c>
      <x:c r="D7" s="19" t="str">
        <x:v>Floor-center</x:v>
      </x:c>
      <x:c r="E7" s="19" t="str">
        <x:v>Box for solid placed crates; inserts noncolliding</x:v>
      </x:c>
      <x:c r="F7" s="19" t="str">
        <x:v>Separate record insert only</x:v>
      </x:c>
      <x:c r="G7" s="19" t="str">
        <x:v>T02; G01</x:v>
      </x:c>
      <x:c r="H7" s="19" t="str">
        <x:v>Empty shell plus one insert delivered; artwork original; browse proxy independent of insert.</x:v>
      </x:c>
    </x:row>
    <x:row r="8" ht="80" customHeight="1">
      <x:c r="A8" s="19" t="str">
        <x:v>H04</x:v>
      </x:c>
      <x:c r="B8" s="19" t="str">
        <x:v>Maintenance helper robot</x:v>
      </x:c>
      <x:c r="C8" s="19" t="str">
        <x:v>3.5 x 4 x 3 studs</x:v>
      </x:c>
      <x:c r="D8" s="19" t="str">
        <x:v>Root at floor-center; face -Z</x:v>
      </x:c>
      <x:c r="E8" s="19" t="str">
        <x:v>Single stable body proxy; cosmetic wheels</x:v>
      </x:c>
      <x:c r="F8" s="19" t="str">
        <x:v>Root, head yaw/pitch, two arm pivots, wheel/tread surfaces</x:v>
      </x:c>
      <x:c r="G8" s="19" t="str">
        <x:v>T01; G03</x:v>
      </x:c>
      <x:c r="H8" s="19" t="str">
        <x:v>Robot remains readable without glow; chirp interaction socket present; no per-link tread simulation.</x:v>
      </x:c>
    </x:row>
    <x:row r="9" ht="80" customHeight="1">
      <x:c r="A9" s="19" t="str">
        <x:v>H05</x:v>
      </x:c>
      <x:c r="B9" s="19" t="str">
        <x:v>Curved street lamp</x:v>
      </x:c>
      <x:c r="C9" s="19" t="str">
        <x:v>2.5 x 12 x 3 studs</x:v>
      </x:c>
      <x:c r="D9" s="19" t="str">
        <x:v>Floor-center</x:v>
      </x:c>
      <x:c r="E9" s="19" t="str">
        <x:v>Pole/base box only</x:v>
      </x:c>
      <x:c r="F9" s="19" t="str">
        <x:v>Bulb/glass target; light attachment</x:v>
      </x:c>
      <x:c r="G9" s="19" t="str">
        <x:v>T01</x:v>
      </x:c>
      <x:c r="H9" s="19" t="str">
        <x:v>Emissive insert separate from glass; lit silhouette readable with local light disabled.</x:v>
      </x:c>
    </x:row>
    <x:row r="10" ht="80" customHeight="1">
      <x:c r="A10" s="19" t="str">
        <x:v>H06</x:v>
      </x:c>
      <x:c r="B10" s="19" t="str">
        <x:v>Record-shop / workshop shell</x:v>
      </x:c>
      <x:c r="C10" s="19" t="str">
        <x:v>32 x 16 x 24 studs</x:v>
      </x:c>
      <x:c r="D10" s="19" t="str">
        <x:v>Front-left floor grid corner</x:v>
      </x:c>
      <x:c r="E10" s="19" t="str">
        <x:v>Modular proxies; portal remains clear</x:v>
      </x:c>
      <x:c r="F10" s="19" t="str">
        <x:v>Door and optional shutter; sign face separate</x:v>
      </x:c>
      <x:c r="G10" s="19" t="str">
        <x:v>M01; M03; M04; M05; M06; M07; M08; M10; M11; M12; M17; T02; T03; T04</x:v>
      </x:c>
      <x:c r="H10" s="19" t="str">
        <x:v>One modular shell, not a fused diorama; 24 x 20 usable interior; doorway and camera clearances pass.</x:v>
      </x:c>
    </x:row>
    <x:row r="11" ht="80" customHeight="1">
      <x:c r="A11" s="19" t="str">
        <x:v>M01</x:v>
      </x:c>
      <x:c r="B11" s="19" t="str">
        <x:v>Full wall bay</x:v>
      </x:c>
      <x:c r="C11" s="19" t="str">
        <x:v>8 x 12 x 1</x:v>
      </x:c>
      <x:c r="D11" s="19" t="str">
        <x:v>Lower-left grid corner</x:v>
      </x:c>
      <x:c r="E11" s="19" t="str">
        <x:v>Simple proxy; door opening excluded</x:v>
      </x:c>
      <x:c r="F11" s="19" t="str">
        <x:v>None</x:v>
      </x:c>
      <x:c r="G11" s="19" t="str">
        <x:v>T01; T02; T03</x:v>
      </x:c>
      <x:c r="H11" s="19" t="str">
        <x:v>Snaps to 4-stud planning / 8-stud bay grid; no seams, inverted faces or blocked route.</x:v>
      </x:c>
    </x:row>
    <x:row r="12" ht="80" customHeight="1">
      <x:c r="A12" s="19" t="str">
        <x:v>M02</x:v>
      </x:c>
      <x:c r="B12" s="19" t="str">
        <x:v>Half wall bay</x:v>
      </x:c>
      <x:c r="C12" s="19" t="str">
        <x:v>4 x 12 x 1</x:v>
      </x:c>
      <x:c r="D12" s="19" t="str">
        <x:v>Lower-left grid corner</x:v>
      </x:c>
      <x:c r="E12" s="19" t="str">
        <x:v>Simple proxy; door opening excluded</x:v>
      </x:c>
      <x:c r="F12" s="19" t="str">
        <x:v>None</x:v>
      </x:c>
      <x:c r="G12" s="19" t="str">
        <x:v>T01; T02; T03</x:v>
      </x:c>
      <x:c r="H12" s="19" t="str">
        <x:v>Snaps to 4-stud planning / 8-stud bay grid; no seams, inverted faces or blocked route.</x:v>
      </x:c>
    </x:row>
    <x:row r="13" ht="80" customHeight="1">
      <x:c r="A13" s="19" t="str">
        <x:v>M03</x:v>
      </x:c>
      <x:c r="B13" s="19" t="str">
        <x:v>Corner post</x:v>
      </x:c>
      <x:c r="C13" s="19" t="str">
        <x:v>1 x 12 x 1</x:v>
      </x:c>
      <x:c r="D13" s="19" t="str">
        <x:v>Lower-left grid corner</x:v>
      </x:c>
      <x:c r="E13" s="19" t="str">
        <x:v>Simple proxy; door opening excluded</x:v>
      </x:c>
      <x:c r="F13" s="19" t="str">
        <x:v>None</x:v>
      </x:c>
      <x:c r="G13" s="19" t="str">
        <x:v>T01; T02; T03</x:v>
      </x:c>
      <x:c r="H13" s="19" t="str">
        <x:v>Snaps to 4-stud planning / 8-stud bay grid; no seams, inverted faces or blocked route.</x:v>
      </x:c>
    </x:row>
    <x:row r="14" ht="80" customHeight="1">
      <x:c r="A14" s="19" t="str">
        <x:v>M04</x:v>
      </x:c>
      <x:c r="B14" s="19" t="str">
        <x:v>Door portal bay</x:v>
      </x:c>
      <x:c r="C14" s="19" t="str">
        <x:v>8 x 12 x 1</x:v>
      </x:c>
      <x:c r="D14" s="19" t="str">
        <x:v>Lower-left grid corner</x:v>
      </x:c>
      <x:c r="E14" s="19" t="str">
        <x:v>Simple proxy; door opening excluded</x:v>
      </x:c>
      <x:c r="F14" s="19" t="str">
        <x:v>None</x:v>
      </x:c>
      <x:c r="G14" s="19" t="str">
        <x:v>T01; T02; T03</x:v>
      </x:c>
      <x:c r="H14" s="19" t="str">
        <x:v>Snaps to 4-stud planning / 8-stud bay grid; no seams, inverted faces or blocked route.</x:v>
      </x:c>
    </x:row>
    <x:row r="15" ht="80" customHeight="1">
      <x:c r="A15" s="19" t="str">
        <x:v>M05</x:v>
      </x:c>
      <x:c r="B15" s="19" t="str">
        <x:v>Display window bay</x:v>
      </x:c>
      <x:c r="C15" s="19" t="str">
        <x:v>8 x 12 x 1</x:v>
      </x:c>
      <x:c r="D15" s="19" t="str">
        <x:v>Lower-left grid corner</x:v>
      </x:c>
      <x:c r="E15" s="19" t="str">
        <x:v>Simple proxy; door opening excluded</x:v>
      </x:c>
      <x:c r="F15" s="19" t="str">
        <x:v>None</x:v>
      </x:c>
      <x:c r="G15" s="19" t="str">
        <x:v>T01; T02; T03</x:v>
      </x:c>
      <x:c r="H15" s="19" t="str">
        <x:v>Snaps to 4-stud planning / 8-stud bay grid; no seams, inverted faces or blocked route.</x:v>
      </x:c>
    </x:row>
    <x:row r="16" ht="80" customHeight="1">
      <x:c r="A16" s="19" t="str">
        <x:v>M06</x:v>
      </x:c>
      <x:c r="B16" s="19" t="str">
        <x:v>Door leaf</x:v>
      </x:c>
      <x:c r="C16" s="19" t="str">
        <x:v>6 x 10 x 0.5</x:v>
      </x:c>
      <x:c r="D16" s="19" t="str">
        <x:v>Hinge edge</x:v>
      </x:c>
      <x:c r="E16" s="19" t="str">
        <x:v>Simple proxy; door opening excluded</x:v>
      </x:c>
      <x:c r="F16" s="19" t="str">
        <x:v>Hinge</x:v>
      </x:c>
      <x:c r="G16" s="19" t="str">
        <x:v>T01; T02; T03</x:v>
      </x:c>
      <x:c r="H16" s="19" t="str">
        <x:v>Snaps to 4-stud planning / 8-stud bay grid; no seams, inverted faces or blocked route.</x:v>
      </x:c>
    </x:row>
    <x:row r="17" ht="80" customHeight="1">
      <x:c r="A17" s="19" t="str">
        <x:v>M07</x:v>
      </x:c>
      <x:c r="B17" s="19" t="str">
        <x:v>Floor tile</x:v>
      </x:c>
      <x:c r="C17" s="19" t="str">
        <x:v>8 x 1 x 8</x:v>
      </x:c>
      <x:c r="D17" s="19" t="str">
        <x:v>Lower-left grid corner</x:v>
      </x:c>
      <x:c r="E17" s="19" t="str">
        <x:v>Simple proxy; door opening excluded</x:v>
      </x:c>
      <x:c r="F17" s="19" t="str">
        <x:v>None</x:v>
      </x:c>
      <x:c r="G17" s="19" t="str">
        <x:v>T01; T02; T03</x:v>
      </x:c>
      <x:c r="H17" s="19" t="str">
        <x:v>Snaps to 4-stud planning / 8-stud bay grid; no seams, inverted faces or blocked route.</x:v>
      </x:c>
    </x:row>
    <x:row r="18" ht="80" customHeight="1">
      <x:c r="A18" s="19" t="str">
        <x:v>M08</x:v>
      </x:c>
      <x:c r="B18" s="19" t="str">
        <x:v>Roof panel</x:v>
      </x:c>
      <x:c r="C18" s="19" t="str">
        <x:v>8 x 1 x 8</x:v>
      </x:c>
      <x:c r="D18" s="19" t="str">
        <x:v>Lower-left grid corner</x:v>
      </x:c>
      <x:c r="E18" s="19" t="str">
        <x:v>Simple proxy; door opening excluded</x:v>
      </x:c>
      <x:c r="F18" s="19" t="str">
        <x:v>None</x:v>
      </x:c>
      <x:c r="G18" s="19" t="str">
        <x:v>T01; T02; T03</x:v>
      </x:c>
      <x:c r="H18" s="19" t="str">
        <x:v>Snaps to 4-stud planning / 8-stud bay grid; no seams, inverted faces or blocked route.</x:v>
      </x:c>
    </x:row>
    <x:row r="19" ht="80" customHeight="1">
      <x:c r="A19" s="19" t="str">
        <x:v>M09</x:v>
      </x:c>
      <x:c r="B19" s="19" t="str">
        <x:v>Roof-edge trim</x:v>
      </x:c>
      <x:c r="C19" s="19" t="str">
        <x:v>8 x 1 x 1</x:v>
      </x:c>
      <x:c r="D19" s="19" t="str">
        <x:v>Lower-left grid corner</x:v>
      </x:c>
      <x:c r="E19" s="19" t="str">
        <x:v>Simple proxy; door opening excluded</x:v>
      </x:c>
      <x:c r="F19" s="19" t="str">
        <x:v>None</x:v>
      </x:c>
      <x:c r="G19" s="19" t="str">
        <x:v>T01; T02; T03</x:v>
      </x:c>
      <x:c r="H19" s="19" t="str">
        <x:v>Snaps to 4-stud planning / 8-stud bay grid; no seams, inverted faces or blocked route.</x:v>
      </x:c>
    </x:row>
    <x:row r="20" ht="80" customHeight="1">
      <x:c r="A20" s="19" t="str">
        <x:v>M10</x:v>
      </x:c>
      <x:c r="B20" s="19" t="str">
        <x:v>Striped awning bay</x:v>
      </x:c>
      <x:c r="C20" s="19" t="str">
        <x:v>8 x 2 x 4</x:v>
      </x:c>
      <x:c r="D20" s="19" t="str">
        <x:v>Lower-left grid corner</x:v>
      </x:c>
      <x:c r="E20" s="19" t="str">
        <x:v>Simple proxy; door opening excluded</x:v>
      </x:c>
      <x:c r="F20" s="19" t="str">
        <x:v>None</x:v>
      </x:c>
      <x:c r="G20" s="19" t="str">
        <x:v>T02; T03; T04</x:v>
      </x:c>
      <x:c r="H20" s="19" t="str">
        <x:v>Snaps to 4-stud planning / 8-stud bay grid; no seams, inverted faces or blocked route.</x:v>
      </x:c>
    </x:row>
    <x:row r="21" ht="80" customHeight="1">
      <x:c r="A21" s="19" t="str">
        <x:v>M11</x:v>
      </x:c>
      <x:c r="B21" s="19" t="str">
        <x:v>Entry step unit</x:v>
      </x:c>
      <x:c r="C21" s="19" t="str">
        <x:v>8 x 2 x 4</x:v>
      </x:c>
      <x:c r="D21" s="19" t="str">
        <x:v>Lower-left grid corner</x:v>
      </x:c>
      <x:c r="E21" s="19" t="str">
        <x:v>Simple proxy; door opening excluded</x:v>
      </x:c>
      <x:c r="F21" s="19" t="str">
        <x:v>None</x:v>
      </x:c>
      <x:c r="G21" s="19" t="str">
        <x:v>T01; T02; T03</x:v>
      </x:c>
      <x:c r="H21" s="19" t="str">
        <x:v>Snaps to 4-stud planning / 8-stud bay grid; no seams, inverted faces or blocked route.</x:v>
      </x:c>
    </x:row>
    <x:row r="22" ht="80" customHeight="1">
      <x:c r="A22" s="19" t="str">
        <x:v>M12</x:v>
      </x:c>
      <x:c r="B22" s="19" t="str">
        <x:v>Access ramp</x:v>
      </x:c>
      <x:c r="C22" s="19" t="str">
        <x:v>8 x 2 x 8</x:v>
      </x:c>
      <x:c r="D22" s="19" t="str">
        <x:v>Lower-left grid corner</x:v>
      </x:c>
      <x:c r="E22" s="19" t="str">
        <x:v>Simple proxy; door opening excluded</x:v>
      </x:c>
      <x:c r="F22" s="19" t="str">
        <x:v>None</x:v>
      </x:c>
      <x:c r="G22" s="19" t="str">
        <x:v>T01; T02; T03</x:v>
      </x:c>
      <x:c r="H22" s="19" t="str">
        <x:v>Snaps to 4-stud planning / 8-stud bay grid; no seams, inverted faces or blocked route.</x:v>
      </x:c>
    </x:row>
    <x:row r="23" ht="80" customHeight="1">
      <x:c r="A23" s="19" t="str">
        <x:v>M13</x:v>
      </x:c>
      <x:c r="B23" s="19" t="str">
        <x:v>Paving tile</x:v>
      </x:c>
      <x:c r="C23" s="19" t="str">
        <x:v>8 x 0.5 x 8</x:v>
      </x:c>
      <x:c r="D23" s="19" t="str">
        <x:v>Lower-left grid corner</x:v>
      </x:c>
      <x:c r="E23" s="19" t="str">
        <x:v>Simple proxy; door opening excluded</x:v>
      </x:c>
      <x:c r="F23" s="19" t="str">
        <x:v>None</x:v>
      </x:c>
      <x:c r="G23" s="19" t="str">
        <x:v>T01; T02; T03</x:v>
      </x:c>
      <x:c r="H23" s="19" t="str">
        <x:v>Snaps to 4-stud planning / 8-stud bay grid; no seams, inverted faces or blocked route.</x:v>
      </x:c>
    </x:row>
    <x:row r="24" ht="80" customHeight="1">
      <x:c r="A24" s="19" t="str">
        <x:v>M14</x:v>
      </x:c>
      <x:c r="B24" s="19" t="str">
        <x:v>Curb section</x:v>
      </x:c>
      <x:c r="C24" s="19" t="str">
        <x:v>8 x 1 x 1</x:v>
      </x:c>
      <x:c r="D24" s="19" t="str">
        <x:v>Lower-left grid corner</x:v>
      </x:c>
      <x:c r="E24" s="19" t="str">
        <x:v>Simple proxy; door opening excluded</x:v>
      </x:c>
      <x:c r="F24" s="19" t="str">
        <x:v>None</x:v>
      </x:c>
      <x:c r="G24" s="19" t="str">
        <x:v>T01; T02; T03</x:v>
      </x:c>
      <x:c r="H24" s="19" t="str">
        <x:v>Snaps to 4-stud planning / 8-stud bay grid; no seams, inverted faces or blocked route.</x:v>
      </x:c>
    </x:row>
    <x:row r="25" ht="80" customHeight="1">
      <x:c r="A25" s="19" t="str">
        <x:v>M15</x:v>
      </x:c>
      <x:c r="B25" s="19" t="str">
        <x:v>Waterfront railing</x:v>
      </x:c>
      <x:c r="C25" s="19" t="str">
        <x:v>8 x 4 x 0.5</x:v>
      </x:c>
      <x:c r="D25" s="19" t="str">
        <x:v>Lower-left grid corner</x:v>
      </x:c>
      <x:c r="E25" s="19" t="str">
        <x:v>Simple proxy; door opening excluded</x:v>
      </x:c>
      <x:c r="F25" s="19" t="str">
        <x:v>None</x:v>
      </x:c>
      <x:c r="G25" s="19" t="str">
        <x:v>T01; T02; T03</x:v>
      </x:c>
      <x:c r="H25" s="19" t="str">
        <x:v>Snaps to 4-stud planning / 8-stud bay grid; no seams, inverted faces or blocked route.</x:v>
      </x:c>
    </x:row>
    <x:row r="26" ht="80" customHeight="1">
      <x:c r="A26" s="19" t="str">
        <x:v>M16</x:v>
      </x:c>
      <x:c r="B26" s="19" t="str">
        <x:v>Roof parapet</x:v>
      </x:c>
      <x:c r="C26" s="19" t="str">
        <x:v>8 x 3 x 1</x:v>
      </x:c>
      <x:c r="D26" s="19" t="str">
        <x:v>Lower-left grid corner</x:v>
      </x:c>
      <x:c r="E26" s="19" t="str">
        <x:v>Simple proxy; door opening excluded</x:v>
      </x:c>
      <x:c r="F26" s="19" t="str">
        <x:v>None</x:v>
      </x:c>
      <x:c r="G26" s="19" t="str">
        <x:v>T01; T02; T03</x:v>
      </x:c>
      <x:c r="H26" s="19" t="str">
        <x:v>Snaps to 4-stud planning / 8-stud bay grid; no seams, inverted faces or blocked route.</x:v>
      </x:c>
    </x:row>
    <x:row r="27" ht="80" customHeight="1">
      <x:c r="A27" s="19" t="str">
        <x:v>M17</x:v>
      </x:c>
      <x:c r="B27" s="19" t="str">
        <x:v>Vinyl storefront sign</x:v>
      </x:c>
      <x:c r="C27" s="19" t="str">
        <x:v>8 x 8 x 1</x:v>
      </x:c>
      <x:c r="D27" s="19" t="str">
        <x:v>Lower-left grid corner</x:v>
      </x:c>
      <x:c r="E27" s="19" t="str">
        <x:v>Simple proxy; door opening excluded</x:v>
      </x:c>
      <x:c r="F27" s="19" t="str">
        <x:v>None</x:v>
      </x:c>
      <x:c r="G27" s="19" t="str">
        <x:v>T01; T02; T03</x:v>
      </x:c>
      <x:c r="H27" s="19" t="str">
        <x:v>Snaps to 4-stud planning / 8-stud bay grid; no seams, inverted faces or blocked route.</x:v>
      </x:c>
    </x:row>
    <x:row r="28" ht="80" customHeight="1">
      <x:c r="A28" s="19" t="str">
        <x:v>M18</x:v>
      </x:c>
      <x:c r="B28" s="19" t="str">
        <x:v>Shop shutter</x:v>
      </x:c>
      <x:c r="C28" s="19" t="str">
        <x:v>8 x 10 x 0.5</x:v>
      </x:c>
      <x:c r="D28" s="19" t="str">
        <x:v>Lower-left grid corner</x:v>
      </x:c>
      <x:c r="E28" s="19" t="str">
        <x:v>Simple proxy; door opening excluded</x:v>
      </x:c>
      <x:c r="F28" s="19" t="str">
        <x:v>Shutter transform</x:v>
      </x:c>
      <x:c r="G28" s="19" t="str">
        <x:v>T01; T02; T03</x:v>
      </x:c>
      <x:c r="H28" s="19" t="str">
        <x:v>Snaps to 4-stud planning / 8-stud bay grid; no seams, inverted faces or blocked route.</x:v>
      </x:c>
    </x:row>
    <x:row r="29" ht="80" customHeight="1">
      <x:c r="A29" s="19" t="str">
        <x:v>P01</x:v>
      </x:c>
      <x:c r="B29" s="19" t="str">
        <x:v>Studio workbench</x:v>
      </x:c>
      <x:c r="C29" s="19" t="str">
        <x:v>8 x 3.5 x 4</x:v>
      </x:c>
      <x:c r="D29" s="19" t="str">
        <x:v>Floor-center; wall props rear-center</x:v>
      </x:c>
      <x:c r="E29" s="19" t="str">
        <x:v>Simple proxy if solid; small dressing none</x:v>
      </x:c>
      <x:c r="F29" s="19" t="str">
        <x:v>None</x:v>
      </x:c>
      <x:c r="G29" s="19" t="str">
        <x:v>T01; T02; T04</x:v>
      </x:c>
      <x:c r="H29" s="19" t="str">
        <x:v>H01 footprint fits; standing interaction needs no seat.</x:v>
      </x:c>
    </x:row>
    <x:row r="30" ht="80" customHeight="1">
      <x:c r="A30" s="19" t="str">
        <x:v>P02</x:v>
      </x:c>
      <x:c r="B30" s="19" t="str">
        <x:v>Round workshop stool</x:v>
      </x:c>
      <x:c r="C30" s="19" t="str">
        <x:v>2.5 x 3 x 2.5</x:v>
      </x:c>
      <x:c r="D30" s="19" t="str">
        <x:v>Floor-center; wall props rear-center</x:v>
      </x:c>
      <x:c r="E30" s="19" t="str">
        <x:v>Simple proxy if solid; small dressing none</x:v>
      </x:c>
      <x:c r="F30" s="19" t="str">
        <x:v>None</x:v>
      </x:c>
      <x:c r="G30" s="19" t="str">
        <x:v>T01; T02; T04</x:v>
      </x:c>
      <x:c r="H30" s="19" t="str">
        <x:v>Optional seating only; cannot block station.</x:v>
      </x:c>
    </x:row>
    <x:row r="31" ht="80" customHeight="1">
      <x:c r="A31" s="19" t="str">
        <x:v>P03</x:v>
      </x:c>
      <x:c r="B31" s="19" t="str">
        <x:v>Listening bench</x:v>
      </x:c>
      <x:c r="C31" s="19" t="str">
        <x:v>7 x 3.5 x 2.5</x:v>
      </x:c>
      <x:c r="D31" s="19" t="str">
        <x:v>Floor-center; wall props rear-center</x:v>
      </x:c>
      <x:c r="E31" s="19" t="str">
        <x:v>Simple proxy if solid; small dressing none</x:v>
      </x:c>
      <x:c r="F31" s="19" t="str">
        <x:v>None</x:v>
      </x:c>
      <x:c r="G31" s="19" t="str">
        <x:v>T01; T02; T04</x:v>
      </x:c>
      <x:c r="H31" s="19" t="str">
        <x:v>Sightline to stage; accessible approach.</x:v>
      </x:c>
    </x:row>
    <x:row r="32" ht="80" customHeight="1">
      <x:c r="A32" s="19" t="str">
        <x:v>P04</x:v>
      </x:c>
      <x:c r="B32" s="19" t="str">
        <x:v>Record browsing bin</x:v>
      </x:c>
      <x:c r="C32" s="19" t="str">
        <x:v>5 x 3.5 x 3</x:v>
      </x:c>
      <x:c r="D32" s="19" t="str">
        <x:v>Floor-center; wall props rear-center</x:v>
      </x:c>
      <x:c r="E32" s="19" t="str">
        <x:v>Simple proxy if solid; small dressing none</x:v>
      </x:c>
      <x:c r="F32" s="19" t="str">
        <x:v>None</x:v>
      </x:c>
      <x:c r="G32" s="19" t="str">
        <x:v>T01; T02; T04; G01</x:v>
      </x:c>
      <x:c r="H32" s="19" t="str">
        <x:v>Browse socket on front; artwork legible at close range.</x:v>
      </x:c>
    </x:row>
    <x:row r="33" ht="80" customHeight="1">
      <x:c r="A33" s="19" t="str">
        <x:v>P05</x:v>
      </x:c>
      <x:c r="B33" s="19" t="str">
        <x:v>Wall shelf</x:v>
      </x:c>
      <x:c r="C33" s="19" t="str">
        <x:v>6 x 0.7 x 1.5</x:v>
      </x:c>
      <x:c r="D33" s="19" t="str">
        <x:v>Floor-center; wall props rear-center</x:v>
      </x:c>
      <x:c r="E33" s="19" t="str">
        <x:v>Simple proxy if solid; small dressing none</x:v>
      </x:c>
      <x:c r="F33" s="19" t="str">
        <x:v>None</x:v>
      </x:c>
      <x:c r="G33" s="19" t="str">
        <x:v>T01; T02; T04</x:v>
      </x:c>
      <x:c r="H33" s="19" t="str">
        <x:v>Mounted off head/camera route; shared props not embedded duplicates.</x:v>
      </x:c>
    </x:row>
    <x:row r="34" ht="80" customHeight="1">
      <x:c r="A34" s="19" t="str">
        <x:v>P06</x:v>
      </x:c>
      <x:c r="B34" s="19" t="str">
        <x:v>Storage crate</x:v>
      </x:c>
      <x:c r="C34" s="19" t="str">
        <x:v>3 x 3 x 3</x:v>
      </x:c>
      <x:c r="D34" s="19" t="str">
        <x:v>Floor-center; wall props rear-center</x:v>
      </x:c>
      <x:c r="E34" s="19" t="str">
        <x:v>Simple proxy if solid; small dressing none</x:v>
      </x:c>
      <x:c r="F34" s="19" t="str">
        <x:v>None</x:v>
      </x:c>
      <x:c r="G34" s="19" t="str">
        <x:v>T01; T02; T04</x:v>
      </x:c>
      <x:c r="H34" s="19" t="str">
        <x:v>Box collider; repeat uses same mesh ID.</x:v>
      </x:c>
    </x:row>
    <x:row r="35" ht="80" customHeight="1">
      <x:c r="A35" s="19" t="str">
        <x:v>P07</x:v>
      </x:c>
      <x:c r="B35" s="19" t="str">
        <x:v>Headphones</x:v>
      </x:c>
      <x:c r="C35" s="19" t="str">
        <x:v>2 x 1.5 x 0.8</x:v>
      </x:c>
      <x:c r="D35" s="19" t="str">
        <x:v>Floor-center; wall props rear-center</x:v>
      </x:c>
      <x:c r="E35" s="19" t="str">
        <x:v>Simple proxy if solid; small dressing none</x:v>
      </x:c>
      <x:c r="F35" s="19" t="str">
        <x:v>None</x:v>
      </x:c>
      <x:c r="G35" s="19" t="str">
        <x:v>T01; T02; T04</x:v>
      </x:c>
      <x:c r="H35" s="19" t="str">
        <x:v>Reads as headphones at medium shot; does not become a functional mic promise.</x:v>
      </x:c>
    </x:row>
    <x:row r="36" ht="80" customHeight="1">
      <x:c r="A36" s="19" t="str">
        <x:v>P08</x:v>
      </x:c>
      <x:c r="B36" s="19" t="str">
        <x:v>Woven studio rug</x:v>
      </x:c>
      <x:c r="C36" s="19" t="str">
        <x:v>10 x 0.05 x 8</x:v>
      </x:c>
      <x:c r="D36" s="19" t="str">
        <x:v>Floor-center; wall props rear-center</x:v>
      </x:c>
      <x:c r="E36" s="19" t="str">
        <x:v>Simple proxy if solid; small dressing none</x:v>
      </x:c>
      <x:c r="F36" s="19" t="str">
        <x:v>None</x:v>
      </x:c>
      <x:c r="G36" s="19" t="str">
        <x:v>T01; T02; T04</x:v>
      </x:c>
      <x:c r="H36" s="19" t="str">
        <x:v>No floor z-fighting; noncolliding.</x:v>
      </x:c>
    </x:row>
    <x:row r="37" ht="80" customHeight="1">
      <x:c r="A37" s="19" t="str">
        <x:v>P09</x:v>
      </x:c>
      <x:c r="B37" s="19" t="str">
        <x:v>Cable-run kit</x:v>
      </x:c>
      <x:c r="C37" s="19" t="str">
        <x:v>4 / 8 length; 0.2 diameter</x:v>
      </x:c>
      <x:c r="D37" s="19" t="str">
        <x:v>Floor-center; wall props rear-center</x:v>
      </x:c>
      <x:c r="E37" s="19" t="str">
        <x:v>Simple proxy if solid; small dressing none</x:v>
      </x:c>
      <x:c r="F37" s="19" t="str">
        <x:v>None</x:v>
      </x:c>
      <x:c r="G37" s="19" t="str">
        <x:v>T01; T02; T04</x:v>
      </x:c>
      <x:c r="H37" s="19" t="str">
        <x:v>No physics cables; simplified at distance; route does not imply a puzzle unless tagged.</x:v>
      </x:c>
    </x:row>
    <x:row r="38" ht="80" customHeight="1">
      <x:c r="A38" s="19" t="str">
        <x:v>P10</x:v>
      </x:c>
      <x:c r="B38" s="19" t="str">
        <x:v>Cable coil</x:v>
      </x:c>
      <x:c r="C38" s="19" t="str">
        <x:v>2 x 0.3 x 2</x:v>
      </x:c>
      <x:c r="D38" s="19" t="str">
        <x:v>Floor-center; wall props rear-center</x:v>
      </x:c>
      <x:c r="E38" s="19" t="str">
        <x:v>Simple proxy if solid; small dressing none</x:v>
      </x:c>
      <x:c r="F38" s="19" t="str">
        <x:v>None</x:v>
      </x:c>
      <x:c r="G38" s="19" t="str">
        <x:v>T01; T02; T04</x:v>
      </x:c>
      <x:c r="H38" s="19" t="str">
        <x:v>Noncolliding; removable without losing scene meaning.</x:v>
      </x:c>
    </x:row>
    <x:row r="39" ht="80" customHeight="1">
      <x:c r="A39" s="19" t="str">
        <x:v>P11</x:v>
      </x:c>
      <x:c r="B39" s="19" t="str">
        <x:v>Planter pot</x:v>
      </x:c>
      <x:c r="C39" s="19" t="str">
        <x:v>2 x 2.5 x 2</x:v>
      </x:c>
      <x:c r="D39" s="19" t="str">
        <x:v>Floor-center; wall props rear-center</x:v>
      </x:c>
      <x:c r="E39" s="19" t="str">
        <x:v>Simple proxy if solid; small dressing none</x:v>
      </x:c>
      <x:c r="F39" s="19" t="str">
        <x:v>None</x:v>
      </x:c>
      <x:c r="G39" s="19" t="str">
        <x:v>T01; T02; T04</x:v>
      </x:c>
      <x:c r="H39" s="19" t="str">
        <x:v>Foliage socket centered; separate plant reusable.</x:v>
      </x:c>
    </x:row>
    <x:row r="40" ht="80" customHeight="1">
      <x:c r="A40" s="19" t="str">
        <x:v>P12</x:v>
      </x:c>
      <x:c r="B40" s="19" t="str">
        <x:v>Broad-leaf plant cluster</x:v>
      </x:c>
      <x:c r="C40" s="19" t="str">
        <x:v>3 x 4 x 3</x:v>
      </x:c>
      <x:c r="D40" s="19" t="str">
        <x:v>Floor-center; wall props rear-center</x:v>
      </x:c>
      <x:c r="E40" s="19" t="str">
        <x:v>Simple proxy if solid; small dressing none</x:v>
      </x:c>
      <x:c r="F40" s="19" t="str">
        <x:v>None</x:v>
      </x:c>
      <x:c r="G40" s="19" t="str">
        <x:v>T01; T02; T04</x:v>
      </x:c>
      <x:c r="H40" s="19" t="str">
        <x:v>Low transparency layering; no leaf collisions.</x:v>
      </x:c>
    </x:row>
    <x:row r="41" ht="80" customHeight="1">
      <x:c r="A41" s="19" t="str">
        <x:v>P13</x:v>
      </x:c>
      <x:c r="B41" s="19" t="str">
        <x:v>Wall / pendant lamp family</x:v>
      </x:c>
      <x:c r="C41" s="19" t="str">
        <x:v>1.5 x 2 x 1.5</x:v>
      </x:c>
      <x:c r="D41" s="19" t="str">
        <x:v>Floor-center; wall props rear-center</x:v>
      </x:c>
      <x:c r="E41" s="19" t="str">
        <x:v>Simple proxy if solid; small dressing none</x:v>
      </x:c>
      <x:c r="F41" s="19" t="str">
        <x:v>None</x:v>
      </x:c>
      <x:c r="G41" s="19" t="str">
        <x:v>T01; T02; T04</x:v>
      </x:c>
      <x:c r="H41" s="19" t="str">
        <x:v>Shared lamp core; light attachment consistent.</x:v>
      </x:c>
    </x:row>
    <x:row r="42" ht="80" customHeight="1">
      <x:c r="A42" s="19" t="str">
        <x:v>P14</x:v>
      </x:c>
      <x:c r="B42" s="19" t="str">
        <x:v>Utility junction box</x:v>
      </x:c>
      <x:c r="C42" s="19" t="str">
        <x:v>2 x 3 x 1</x:v>
      </x:c>
      <x:c r="D42" s="19" t="str">
        <x:v>Floor-center; wall props rear-center</x:v>
      </x:c>
      <x:c r="E42" s="19" t="str">
        <x:v>Simple proxy if solid; small dressing none</x:v>
      </x:c>
      <x:c r="F42" s="19" t="str">
        <x:v>None</x:v>
      </x:c>
      <x:c r="G42" s="19" t="str">
        <x:v>T01; T02; T04</x:v>
      </x:c>
      <x:c r="H42" s="19" t="str">
        <x:v>Front socket and status insert separate.</x:v>
      </x:c>
    </x:row>
    <x:row r="43" ht="80" customHeight="1">
      <x:c r="A43" s="19" t="str">
        <x:v>P15</x:v>
      </x:c>
      <x:c r="B43" s="19" t="str">
        <x:v>Repair-bench clutter cluster</x:v>
      </x:c>
      <x:c r="C43" s="19" t="str">
        <x:v>3 x 1 x 2</x:v>
      </x:c>
      <x:c r="D43" s="19" t="str">
        <x:v>Floor-center; wall props rear-center</x:v>
      </x:c>
      <x:c r="E43" s="19" t="str">
        <x:v>Simple proxy if solid; small dressing none</x:v>
      </x:c>
      <x:c r="F43" s="19" t="str">
        <x:v>None</x:v>
      </x:c>
      <x:c r="G43" s="19" t="str">
        <x:v>T01; T02; T04</x:v>
      </x:c>
      <x:c r="H43" s="19" t="str">
        <x:v>Single dressing cluster; does not block sampler or become a loot promise.</x:v>
      </x:c>
    </x:row>
    <x:row r="44" ht="80" customHeight="1">
      <x:c r="A44" s="19" t="str">
        <x:v>P16</x:v>
      </x:c>
      <x:c r="B44" s="19" t="str">
        <x:v>Rooftop vent / duct</x:v>
      </x:c>
      <x:c r="C44" s="19" t="str">
        <x:v>3 x 3 x 2</x:v>
      </x:c>
      <x:c r="D44" s="19" t="str">
        <x:v>Floor-center; wall props rear-center</x:v>
      </x:c>
      <x:c r="E44" s="19" t="str">
        <x:v>Simple proxy if solid; small dressing none</x:v>
      </x:c>
      <x:c r="F44" s="19" t="str">
        <x:v>None</x:v>
      </x:c>
      <x:c r="G44" s="19" t="str">
        <x:v>T01</x:v>
      </x:c>
      <x:c r="H44" s="19" t="str">
        <x:v>Discovery version reuses master and adds I02 binding.</x:v>
      </x:c>
    </x:row>
    <x:row r="45" ht="80" customHeight="1">
      <x:c r="A45" s="19" t="str">
        <x:v>I01</x:v>
      </x:c>
      <x:c r="B45" s="19" t="str">
        <x:v>Metal strike-sign discovery node</x:v>
      </x:c>
      <x:c r="C45" s="19" t="str">
        <x:v>3 x 2 x 0.3 studs</x:v>
      </x:c>
      <x:c r="D45" s="19" t="str">
        <x:v>Upper hinge / rear-center</x:v>
      </x:c>
      <x:c r="E45" s="19" t="str">
        <x:v>Query proxy only</x:v>
      </x:c>
      <x:c r="F45" s="19" t="str">
        <x:v>Small sign swing; optional</x:v>
      </x:c>
      <x:c r="G45" s="19" t="str">
        <x:v>T01; G04; U02; S02</x:v>
      </x:c>
      <x:c r="H45" s="19" t="str">
        <x:v>One-shot sample ID binding; preview and collect states; no need to hit a tiny target.</x:v>
      </x:c>
    </x:row>
    <x:row r="46" ht="80" customHeight="1">
      <x:c r="A46" s="19" t="str">
        <x:v>I02</x:v>
      </x:c>
      <x:c r="B46" s="19" t="str">
        <x:v>Vent-thump discovery binding</x:v>
      </x:c>
      <x:c r="C46" s="19" t="str">
        <x:v>Reuse P16</x:v>
      </x:c>
      <x:c r="D46" s="19" t="str">
        <x:v>Attachment on vent front</x:v>
      </x:c>
      <x:c r="E46" s="19" t="str">
        <x:v>Reuse query proxy</x:v>
      </x:c>
      <x:c r="F46" s="19" t="str">
        <x:v>Optional grille pulse</x:v>
      </x:c>
      <x:c r="G46" s="19" t="str">
        <x:v>P16; U02; S02</x:v>
      </x:c>
      <x:c r="H46" s="19" t="str">
        <x:v>No new vent mesh; audio cue, label and collection badge agree.</x:v>
      </x:c>
    </x:row>
    <x:row r="47" ht="80" customHeight="1">
      <x:c r="A47" s="19" t="str">
        <x:v>I03</x:v>
      </x:c>
      <x:c r="B47" s="19" t="str">
        <x:v>Robot-chirp discovery binding</x:v>
      </x:c>
      <x:c r="C47" s="19" t="str">
        <x:v>Reuse H04</x:v>
      </x:c>
      <x:c r="D47" s="19" t="str">
        <x:v>Head-side attachment</x:v>
      </x:c>
      <x:c r="E47" s="19" t="str">
        <x:v>Robot query proxy</x:v>
      </x:c>
      <x:c r="F47" s="19" t="str">
        <x:v>Face changes / head tilt</x:v>
      </x:c>
      <x:c r="G47" s="19" t="str">
        <x:v>H04; U02; S02</x:v>
      </x:c>
      <x:c r="H47" s="19" t="str">
        <x:v>Approved authored chirp sample linked; collected state not repeated as reward.</x:v>
      </x:c>
    </x:row>
    <x:row r="48" ht="80" customHeight="1">
      <x:c r="A48" s="19" t="str">
        <x:v>I04</x:v>
      </x:c>
      <x:c r="B48" s="19" t="str">
        <x:v>Workshop resonator junction</x:v>
      </x:c>
      <x:c r="C48" s="19" t="str">
        <x:v>3 x 4 x 1.5 studs</x:v>
      </x:c>
      <x:c r="D48" s="19" t="str">
        <x:v>Rear-center at wall</x:v>
      </x:c>
      <x:c r="E48" s="19" t="str">
        <x:v>Query proxy; decor noncolliding</x:v>
      </x:c>
      <x:c r="F48" s="19" t="str">
        <x:v>Indicator segments; small dial</x:v>
      </x:c>
      <x:c r="G48" s="19" t="str">
        <x:v>P14; G04</x:v>
      </x:c>
      <x:c r="H48" s="19" t="str">
        <x:v>All four visible states supplied; restoration does not permanently alter public hub for others.</x:v>
      </x:c>
    </x:row>
    <x:row r="49" ht="80" customHeight="1">
      <x:c r="A49" s="19" t="str">
        <x:v>I05</x:v>
      </x:c>
      <x:c r="B49" s="19" t="str">
        <x:v>Listening-stage control podium</x:v>
      </x:c>
      <x:c r="C49" s="19" t="str">
        <x:v>3 x 4 x 2 studs</x:v>
      </x:c>
      <x:c r="D49" s="19" t="str">
        <x:v>Floor-center</x:v>
      </x:c>
      <x:c r="E49" s="19" t="str">
        <x:v>Simple body proxy</x:v>
      </x:c>
      <x:c r="F49" s="19" t="str">
        <x:v>Status insert</x:v>
      </x:c>
      <x:c r="G49" s="19" t="str">
        <x:v>U03; G04</x:v>
      </x:c>
      <x:c r="H49" s="19" t="str">
        <x:v>Join/listen action readable; mute/leave available without needing podium again.</x:v>
      </x:c>
    </x:row>
    <x:row r="50" ht="80" customHeight="1">
      <x:c r="A50" s="19" t="str">
        <x:v>W01</x:v>
      </x:c>
      <x:c r="B50" s="19" t="str">
        <x:v>Courtyard listening-stage assembly</x:v>
      </x:c>
      <x:c r="C50" s="19" t="str">
        <x:v>24 x 1 x 20 studs</x:v>
      </x:c>
      <x:c r="D50" s="19" t="str">
        <x:v>Front-left floor corner</x:v>
      </x:c>
      <x:c r="E50" s="19" t="str">
        <x:v>Simple floor + open accessible route</x:v>
      </x:c>
      <x:c r="F50" s="19" t="str">
        <x:v>Light presets only</x:v>
      </x:c>
      <x:c r="G50" s="19" t="str">
        <x:v>M07; H01; H02; H05; I05; F02; U03</x:v>
      </x:c>
      <x:c r="H50" s="19" t="str">
        <x:v>Safe audience lane; local listening boundary explicit; no stairs-only access.</x:v>
      </x:c>
    </x:row>
    <x:row r="51" ht="80" customHeight="1">
      <x:c r="A51" s="19" t="str">
        <x:v>W02</x:v>
      </x:c>
      <x:c r="B51" s="19" t="str">
        <x:v>Waterfront edge and calm water</x:v>
      </x:c>
      <x:c r="C51" s="19" t="str">
        <x:v>64 x 8 boundary span</x:v>
      </x:c>
      <x:c r="D51" s="19" t="str">
        <x:v>Zone origin</x:v>
      </x:c>
      <x:c r="E51" s="19" t="str">
        <x:v>Visible railing + separate boundary proxy</x:v>
      </x:c>
      <x:c r="F51" s="19" t="str">
        <x:v>Optional low-amplitude surface motion</x:v>
      </x:c>
      <x:c r="G51" s="19" t="str">
        <x:v>M15; T03</x:v>
      </x:c>
      <x:c r="H51" s="19" t="str">
        <x:v>No unmarked fall route; no expensive reflective requirement for readability.</x:v>
      </x:c>
    </x:row>
    <x:row r="52" ht="80" customHeight="1">
      <x:c r="A52" s="19" t="str">
        <x:v>W03</x:v>
      </x:c>
      <x:c r="B52" s="19" t="str">
        <x:v>Distant skyline cluster</x:v>
      </x:c>
      <x:c r="C52" s="19" t="str">
        <x:v>40 x 50 x 12 studs</x:v>
      </x:c>
      <x:c r="D52" s="19" t="str">
        <x:v>Floor-center</x:v>
      </x:c>
      <x:c r="E52" s="19" t="str">
        <x:v>None; inaccessible</x:v>
      </x:c>
      <x:c r="F52" s="19" t="str">
        <x:v>None</x:v>
      </x:c>
      <x:c r="G52" s="19" t="str">
        <x:v>T03</x:v>
      </x:c>
      <x:c r="H52" s="19" t="str">
        <x:v>Horizon adds depth without stealing contrast from shop or implying accessible doors.</x:v>
      </x:c>
    </x:row>
    <x:row r="53" ht="80" customHeight="1">
      <x:c r="A53" s="19" t="str">
        <x:v>W04</x:v>
      </x:c>
      <x:c r="B53" s="19" t="str">
        <x:v>Elevated transit / bridge silhouette</x:v>
      </x:c>
      <x:c r="C53" s="19" t="str">
        <x:v>64 x 12 x 8 studs</x:v>
      </x:c>
      <x:c r="D53" s="19" t="str">
        <x:v>Floor-center</x:v>
      </x:c>
      <x:c r="E53" s="19" t="str">
        <x:v>None; inaccessible</x:v>
      </x:c>
      <x:c r="F53" s="19" t="str">
        <x:v>None</x:v>
      </x:c>
      <x:c r="G53" s="19" t="str">
        <x:v>T03</x:v>
      </x:c>
      <x:c r="H53" s="19" t="str">
        <x:v>Readable only as backdrop; removable on low tier.</x:v>
      </x:c>
    </x:row>
    <x:row r="54" ht="80" customHeight="1">
      <x:c r="A54" s="19" t="str">
        <x:v>T01</x:v>
      </x:c>
      <x:c r="B54" s="19" t="str">
        <x:v>Equipment paint / trim material set</x:v>
      </x:c>
      <x:c r="C54" s="19" t="str">
        <x:v>Shared library</x:v>
      </x:c>
      <x:c r="D54" s="19" t="str">
        <x:v>Not applicable</x:v>
      </x:c>
      <x:c r="E54" s="19" t="str">
        <x:v>Not applicable</x:v>
      </x:c>
      <x:c r="F54" s="19" t="str">
        <x:v>None</x:v>
      </x:c>
      <x:c r="G54" s="19" t="str"/>
      <x:c r="H54" s="19" t="str">
        <x:v>Check neutral light and dusk; maps named; no unnecessary maps or duplicate uploads.</x:v>
      </x:c>
    </x:row>
    <x:row r="55" ht="80" customHeight="1">
      <x:c r="A55" s="19" t="str">
        <x:v>T02</x:v>
      </x:c>
      <x:c r="B55" s="19" t="str">
        <x:v>Wood material set</x:v>
      </x:c>
      <x:c r="C55" s="19" t="str">
        <x:v>Shared library</x:v>
      </x:c>
      <x:c r="D55" s="19" t="str">
        <x:v>Not applicable</x:v>
      </x:c>
      <x:c r="E55" s="19" t="str">
        <x:v>Not applicable</x:v>
      </x:c>
      <x:c r="F55" s="19" t="str">
        <x:v>None</x:v>
      </x:c>
      <x:c r="G55" s="19" t="str"/>
      <x:c r="H55" s="19" t="str">
        <x:v>Check neutral light and dusk; maps named; no unnecessary maps or duplicate uploads.</x:v>
      </x:c>
    </x:row>
    <x:row r="56" ht="80" customHeight="1">
      <x:c r="A56" s="19" t="str">
        <x:v>T03</x:v>
      </x:c>
      <x:c r="B56" s="19" t="str">
        <x:v>Masonry / paving material set</x:v>
      </x:c>
      <x:c r="C56" s="19" t="str">
        <x:v>Shared library</x:v>
      </x:c>
      <x:c r="D56" s="19" t="str">
        <x:v>Not applicable</x:v>
      </x:c>
      <x:c r="E56" s="19" t="str">
        <x:v>Not applicable</x:v>
      </x:c>
      <x:c r="F56" s="19" t="str">
        <x:v>None</x:v>
      </x:c>
      <x:c r="G56" s="19" t="str"/>
      <x:c r="H56" s="19" t="str">
        <x:v>Check neutral light and dusk; maps named; no unnecessary maps or duplicate uploads.</x:v>
      </x:c>
    </x:row>
    <x:row r="57" ht="80" customHeight="1">
      <x:c r="A57" s="19" t="str">
        <x:v>T04</x:v>
      </x:c>
      <x:c r="B57" s="19" t="str">
        <x:v>Fabric / rubber material set</x:v>
      </x:c>
      <x:c r="C57" s="19" t="str">
        <x:v>Shared library</x:v>
      </x:c>
      <x:c r="D57" s="19" t="str">
        <x:v>Not applicable</x:v>
      </x:c>
      <x:c r="E57" s="19" t="str">
        <x:v>Not applicable</x:v>
      </x:c>
      <x:c r="F57" s="19" t="str">
        <x:v>None</x:v>
      </x:c>
      <x:c r="G57" s="19" t="str"/>
      <x:c r="H57" s="19" t="str">
        <x:v>Check neutral light and dusk; maps named; no unnecessary maps or duplicate uploads.</x:v>
      </x:c>
    </x:row>
    <x:row r="58" ht="80" customHeight="1">
      <x:c r="A58" s="19" t="str">
        <x:v>G01</x:v>
      </x:c>
      <x:c r="B58" s="19" t="str">
        <x:v>Original record sleeve / label atlas</x:v>
      </x:c>
      <x:c r="C58" s="19" t="str">
        <x:v>2D source + exported atlas</x:v>
      </x:c>
      <x:c r="D58" s="19" t="str">
        <x:v>Not applicable</x:v>
      </x:c>
      <x:c r="E58" s="19" t="str">
        <x:v>Not applicable</x:v>
      </x:c>
      <x:c r="F58" s="19" t="str">
        <x:v>None</x:v>
      </x:c>
      <x:c r="G58" s="19" t="str"/>
      <x:c r="H58" s="19" t="str">
        <x:v>Editable vector/raster source; transparent padding; no baked essential language.</x:v>
      </x:c>
    </x:row>
    <x:row r="59" ht="80" customHeight="1">
      <x:c r="A59" s="19" t="str">
        <x:v>G02</x:v>
      </x:c>
      <x:c r="B59" s="19" t="str">
        <x:v>Neighborhood poster / sticker atlas</x:v>
      </x:c>
      <x:c r="C59" s="19" t="str">
        <x:v>2D source + exported atlas</x:v>
      </x:c>
      <x:c r="D59" s="19" t="str">
        <x:v>Not applicable</x:v>
      </x:c>
      <x:c r="E59" s="19" t="str">
        <x:v>Not applicable</x:v>
      </x:c>
      <x:c r="F59" s="19" t="str">
        <x:v>None</x:v>
      </x:c>
      <x:c r="G59" s="19" t="str"/>
      <x:c r="H59" s="19" t="str">
        <x:v>Editable vector/raster source; transparent padding; no baked essential language.</x:v>
      </x:c>
    </x:row>
    <x:row r="60" ht="80" customHeight="1">
      <x:c r="A60" s="19" t="str">
        <x:v>G03</x:v>
      </x:c>
      <x:c r="B60" s="19" t="str">
        <x:v>Equipment face / pad / icon atlas</x:v>
      </x:c>
      <x:c r="C60" s="19" t="str">
        <x:v>2D source + exported atlas</x:v>
      </x:c>
      <x:c r="D60" s="19" t="str">
        <x:v>Not applicable</x:v>
      </x:c>
      <x:c r="E60" s="19" t="str">
        <x:v>Not applicable</x:v>
      </x:c>
      <x:c r="F60" s="19" t="str">
        <x:v>None</x:v>
      </x:c>
      <x:c r="G60" s="19" t="str"/>
      <x:c r="H60" s="19" t="str">
        <x:v>Editable vector/raster source; transparent padding; no baked essential language.</x:v>
      </x:c>
    </x:row>
    <x:row r="61" ht="80" customHeight="1">
      <x:c r="A61" s="19" t="str">
        <x:v>G04</x:v>
      </x:c>
      <x:c r="B61" s="19" t="str">
        <x:v>Wayfinding and status graphics</x:v>
      </x:c>
      <x:c r="C61" s="19" t="str">
        <x:v>2D source + exported atlas</x:v>
      </x:c>
      <x:c r="D61" s="19" t="str">
        <x:v>Not applicable</x:v>
      </x:c>
      <x:c r="E61" s="19" t="str">
        <x:v>Not applicable</x:v>
      </x:c>
      <x:c r="F61" s="19" t="str">
        <x:v>None</x:v>
      </x:c>
      <x:c r="G61" s="19" t="str"/>
      <x:c r="H61" s="19" t="str">
        <x:v>Editable vector/raster source; transparent padding; no baked essential language.</x:v>
      </x:c>
    </x:row>
    <x:row r="62" ht="80" customHeight="1">
      <x:c r="A62" s="19" t="str">
        <x:v>A01</x:v>
      </x:c>
      <x:c r="B62" s="19" t="str">
        <x:v>Sampler pad feedback</x:v>
      </x:c>
      <x:c r="C62" s="19" t="str">
        <x:v>Rig/transform tracks</x:v>
      </x:c>
      <x:c r="D62" s="19" t="str">
        <x:v>Use rig child pivots</x:v>
      </x:c>
      <x:c r="E62" s="19" t="str">
        <x:v>No animated gameplay collision</x:v>
      </x:c>
      <x:c r="F62" s="19" t="str">
        <x:v>Named tracks/targets</x:v>
      </x:c>
      <x:c r="G62" s="19" t="str">
        <x:v>H01; U01</x:v>
      </x:c>
      <x:c r="H62" s="19" t="str">
        <x:v>Loops seamless where needed; stop/rejoin safe; reduced-motion fallback supplied.</x:v>
      </x:c>
    </x:row>
    <x:row r="63" ht="80" customHeight="1">
      <x:c r="A63" s="19" t="str">
        <x:v>A02</x:v>
      </x:c>
      <x:c r="B63" s="19" t="str">
        <x:v>Speaker cone response</x:v>
      </x:c>
      <x:c r="C63" s="19" t="str">
        <x:v>Rig/transform tracks</x:v>
      </x:c>
      <x:c r="D63" s="19" t="str">
        <x:v>Use rig child pivots</x:v>
      </x:c>
      <x:c r="E63" s="19" t="str">
        <x:v>No animated gameplay collision</x:v>
      </x:c>
      <x:c r="F63" s="19" t="str">
        <x:v>Named tracks/targets</x:v>
      </x:c>
      <x:c r="G63" s="19" t="str">
        <x:v>H02</x:v>
      </x:c>
      <x:c r="H63" s="19" t="str">
        <x:v>Loops seamless where needed; stop/rejoin safe; reduced-motion fallback supplied.</x:v>
      </x:c>
    </x:row>
    <x:row r="64" ht="80" customHeight="1">
      <x:c r="A64" s="19" t="str">
        <x:v>A03</x:v>
      </x:c>
      <x:c r="B64" s="19" t="str">
        <x:v>Robot basic motion set</x:v>
      </x:c>
      <x:c r="C64" s="19" t="str">
        <x:v>Rig/transform tracks</x:v>
      </x:c>
      <x:c r="D64" s="19" t="str">
        <x:v>Use rig child pivots</x:v>
      </x:c>
      <x:c r="E64" s="19" t="str">
        <x:v>No animated gameplay collision</x:v>
      </x:c>
      <x:c r="F64" s="19" t="str">
        <x:v>Named tracks/targets</x:v>
      </x:c>
      <x:c r="G64" s="19" t="str">
        <x:v>H04</x:v>
      </x:c>
      <x:c r="H64" s="19" t="str">
        <x:v>Loops seamless where needed; stop/rejoin safe; reduced-motion fallback supplied.</x:v>
      </x:c>
    </x:row>
    <x:row r="65" ht="80" customHeight="1">
      <x:c r="A65" s="19" t="str">
        <x:v>A04</x:v>
      </x:c>
      <x:c r="B65" s="19" t="str">
        <x:v>Robot celebration / carry set</x:v>
      </x:c>
      <x:c r="C65" s="19" t="str">
        <x:v>Rig/transform tracks</x:v>
      </x:c>
      <x:c r="D65" s="19" t="str">
        <x:v>Use rig child pivots</x:v>
      </x:c>
      <x:c r="E65" s="19" t="str">
        <x:v>No animated gameplay collision</x:v>
      </x:c>
      <x:c r="F65" s="19" t="str">
        <x:v>Named tracks/targets</x:v>
      </x:c>
      <x:c r="G65" s="19" t="str">
        <x:v>H04; A03</x:v>
      </x:c>
      <x:c r="H65" s="19" t="str">
        <x:v>Loops seamless where needed; stop/rejoin safe; reduced-motion fallback supplied.</x:v>
      </x:c>
    </x:row>
    <x:row r="66" ht="80" customHeight="1">
      <x:c r="A66" s="19" t="str">
        <x:v>A05</x:v>
      </x:c>
      <x:c r="B66" s="19" t="str">
        <x:v>Restoration reveal choreography</x:v>
      </x:c>
      <x:c r="C66" s="19" t="str">
        <x:v>Rig/transform tracks</x:v>
      </x:c>
      <x:c r="D66" s="19" t="str">
        <x:v>Use rig child pivots</x:v>
      </x:c>
      <x:c r="E66" s="19" t="str">
        <x:v>No animated gameplay collision</x:v>
      </x:c>
      <x:c r="F66" s="19" t="str">
        <x:v>Named tracks/targets</x:v>
      </x:c>
      <x:c r="G66" s="19" t="str">
        <x:v>H06; I04; F01</x:v>
      </x:c>
      <x:c r="H66" s="19" t="str">
        <x:v>Loops seamless where needed; stop/rejoin safe; reduced-motion fallback supplied.</x:v>
      </x:c>
    </x:row>
    <x:row r="67" ht="80" customHeight="1">
      <x:c r="A67" s="19" t="str">
        <x:v>F01</x:v>
      </x:c>
      <x:c r="B67" s="19" t="str">
        <x:v>Dusk and practical-light presets</x:v>
      </x:c>
      <x:c r="C67" s="19" t="str">
        <x:v>Preset and small sprite sources</x:v>
      </x:c>
      <x:c r="D67" s="19" t="str">
        <x:v>Attachments specified by owner asset</x:v>
      </x:c>
      <x:c r="E67" s="19" t="str">
        <x:v>None</x:v>
      </x:c>
      <x:c r="F67" s="19" t="str">
        <x:v>Local visuals only</x:v>
      </x:c>
      <x:c r="G67" s="19" t="str">
        <x:v>H05; P13</x:v>
      </x:c>
      <x:c r="H67" s="19" t="str">
        <x:v>Scene remains complete when disabled; no gameplay information conveyed solely by effect.</x:v>
      </x:c>
    </x:row>
    <x:row r="68" ht="80" customHeight="1">
      <x:c r="A68" s="19" t="str">
        <x:v>F02</x:v>
      </x:c>
      <x:c r="B68" s="19" t="str">
        <x:v>Music-reactive visual preset</x:v>
      </x:c>
      <x:c r="C68" s="19" t="str">
        <x:v>Preset and small sprite sources</x:v>
      </x:c>
      <x:c r="D68" s="19" t="str">
        <x:v>Attachments specified by owner asset</x:v>
      </x:c>
      <x:c r="E68" s="19" t="str">
        <x:v>None</x:v>
      </x:c>
      <x:c r="F68" s="19" t="str">
        <x:v>Local visuals only</x:v>
      </x:c>
      <x:c r="G68" s="19" t="str">
        <x:v>H02; H05; I04</x:v>
      </x:c>
      <x:c r="H68" s="19" t="str">
        <x:v>Scene remains complete when disabled; no gameplay information conveyed solely by effect.</x:v>
      </x:c>
    </x:row>
    <x:row r="69" ht="80" customHeight="1">
      <x:c r="A69" s="19" t="str">
        <x:v>F03</x:v>
      </x:c>
      <x:c r="B69" s="19" t="str">
        <x:v>Discovery feedback</x:v>
      </x:c>
      <x:c r="C69" s="19" t="str">
        <x:v>Preset and small sprite sources</x:v>
      </x:c>
      <x:c r="D69" s="19" t="str">
        <x:v>Attachments specified by owner asset</x:v>
      </x:c>
      <x:c r="E69" s="19" t="str">
        <x:v>None</x:v>
      </x:c>
      <x:c r="F69" s="19" t="str">
        <x:v>Local visuals only</x:v>
      </x:c>
      <x:c r="G69" s="19" t="str">
        <x:v>I01; I02; I03; U02</x:v>
      </x:c>
      <x:c r="H69" s="19" t="str">
        <x:v>Scene remains complete when disabled; no gameplay information conveyed solely by effect.</x:v>
      </x:c>
    </x:row>
    <x:row r="70" ht="80" customHeight="1">
      <x:c r="A70" s="19" t="str">
        <x:v>F04</x:v>
      </x:c>
      <x:c r="B70" s="19" t="str">
        <x:v>Ambient dust / water accents</x:v>
      </x:c>
      <x:c r="C70" s="19" t="str">
        <x:v>Preset and small sprite sources</x:v>
      </x:c>
      <x:c r="D70" s="19" t="str">
        <x:v>Attachments specified by owner asset</x:v>
      </x:c>
      <x:c r="E70" s="19" t="str">
        <x:v>None</x:v>
      </x:c>
      <x:c r="F70" s="19" t="str">
        <x:v>Local visuals only</x:v>
      </x:c>
      <x:c r="G70" s="19" t="str">
        <x:v>F01; W02</x:v>
      </x:c>
      <x:c r="H70" s="19" t="str">
        <x:v>Scene remains complete when disabled; no gameplay information conveyed solely by effect.</x:v>
      </x:c>
    </x:row>
    <x:row r="71" ht="80" customHeight="1">
      <x:c r="A71" s="19" t="str">
        <x:v>U01</x:v>
      </x:c>
      <x:c r="B71" s="19" t="str">
        <x:v>Workstation UI art kit</x:v>
      </x:c>
      <x:c r="C71" s="19" t="str">
        <x:v>Component layouts + exportable graphics</x:v>
      </x:c>
      <x:c r="D71" s="19" t="str">
        <x:v>Responsive anchors</x:v>
      </x:c>
      <x:c r="E71" s="19" t="str">
        <x:v>Not applicable</x:v>
      </x:c>
      <x:c r="F71" s="19" t="str">
        <x:v>Optional small transitions</x:v>
      </x:c>
      <x:c r="G71" s="19" t="str">
        <x:v>G03</x:v>
      </x:c>
      <x:c r="H71" s="19" t="str">
        <x:v>Touch and keyboard focus states; text labels localizable; monochrome/reduced-motion readability.</x:v>
      </x:c>
    </x:row>
    <x:row r="72" ht="80" customHeight="1">
      <x:c r="A72" s="19" t="str">
        <x:v>U02</x:v>
      </x:c>
      <x:c r="B72" s="19" t="str">
        <x:v>Discovery / sample card kit</x:v>
      </x:c>
      <x:c r="C72" s="19" t="str">
        <x:v>Component layouts + exportable graphics</x:v>
      </x:c>
      <x:c r="D72" s="19" t="str">
        <x:v>Responsive anchors</x:v>
      </x:c>
      <x:c r="E72" s="19" t="str">
        <x:v>Not applicable</x:v>
      </x:c>
      <x:c r="F72" s="19" t="str">
        <x:v>Optional small transitions</x:v>
      </x:c>
      <x:c r="G72" s="19" t="str">
        <x:v>G04</x:v>
      </x:c>
      <x:c r="H72" s="19" t="str">
        <x:v>Touch and keyboard focus states; text labels localizable; monochrome/reduced-motion readability.</x:v>
      </x:c>
    </x:row>
    <x:row r="73" ht="80" customHeight="1">
      <x:c r="A73" s="19" t="str">
        <x:v>U03</x:v>
      </x:c>
      <x:c r="B73" s="19" t="str">
        <x:v>Listening / session status kit</x:v>
      </x:c>
      <x:c r="C73" s="19" t="str">
        <x:v>Component layouts + exportable graphics</x:v>
      </x:c>
      <x:c r="D73" s="19" t="str">
        <x:v>Responsive anchors</x:v>
      </x:c>
      <x:c r="E73" s="19" t="str">
        <x:v>Not applicable</x:v>
      </x:c>
      <x:c r="F73" s="19" t="str">
        <x:v>Optional small transitions</x:v>
      </x:c>
      <x:c r="G73" s="19" t="str">
        <x:v>G04</x:v>
      </x:c>
      <x:c r="H73" s="19" t="str">
        <x:v>Touch and keyboard focus states; text labels localizable; monochrome/reduced-motion readability.</x:v>
      </x:c>
    </x:row>
    <x:row r="74" ht="80" customHeight="1">
      <x:c r="A74" s="19" t="str">
        <x:v>U04</x:v>
      </x:c>
      <x:c r="B74" s="19" t="str">
        <x:v>Save / restore feedback kit</x:v>
      </x:c>
      <x:c r="C74" s="19" t="str">
        <x:v>Component layouts + exportable graphics</x:v>
      </x:c>
      <x:c r="D74" s="19" t="str">
        <x:v>Responsive anchors</x:v>
      </x:c>
      <x:c r="E74" s="19" t="str">
        <x:v>Not applicable</x:v>
      </x:c>
      <x:c r="F74" s="19" t="str">
        <x:v>Optional small transitions</x:v>
      </x:c>
      <x:c r="G74" s="19" t="str">
        <x:v>G04</x:v>
      </x:c>
      <x:c r="H74" s="19" t="str">
        <x:v>Touch and keyboard focus states; text labels localizable; monochrome/reduced-motion readability.</x:v>
      </x:c>
    </x:row>
    <x:row r="75" ht="80" customHeight="1">
      <x:c r="A75" s="19" t="str">
        <x:v>S01</x:v>
      </x:c>
      <x:c r="B75" s="19" t="str">
        <x:v>Starter production sound bank</x:v>
      </x:c>
      <x:c r="C75" s="19" t="str">
        <x:v>Audio files + manifest</x:v>
      </x:c>
      <x:c r="D75" s="19" t="str">
        <x:v>Spatial attachment only when required</x:v>
      </x:c>
      <x:c r="E75" s="19" t="str">
        <x:v>Not applicable</x:v>
      </x:c>
      <x:c r="F75" s="19" t="str">
        <x:v>Not applicable</x:v>
      </x:c>
      <x:c r="G75" s="19" t="str"/>
      <x:c r="H75" s="19" t="str">
        <x:v>Source/rights manifest, loudness review, trims, import permissions and published-place playback checked.</x:v>
      </x:c>
    </x:row>
    <x:row r="76" ht="80" customHeight="1">
      <x:c r="A76" s="19" t="str">
        <x:v>S02</x:v>
      </x:c>
      <x:c r="B76" s="19" t="str">
        <x:v>Discovery sample bank</x:v>
      </x:c>
      <x:c r="C76" s="19" t="str">
        <x:v>Audio files + manifest</x:v>
      </x:c>
      <x:c r="D76" s="19" t="str">
        <x:v>Spatial attachment only when required</x:v>
      </x:c>
      <x:c r="E76" s="19" t="str">
        <x:v>Not applicable</x:v>
      </x:c>
      <x:c r="F76" s="19" t="str">
        <x:v>Not applicable</x:v>
      </x:c>
      <x:c r="G76" s="19" t="str"/>
      <x:c r="H76" s="19" t="str">
        <x:v>Source/rights manifest, loudness review, trims, import permissions and published-place playback checked.</x:v>
      </x:c>
    </x:row>
    <x:row r="77" ht="80" customHeight="1">
      <x:c r="A77" s="19" t="str">
        <x:v>S03</x:v>
      </x:c>
      <x:c r="B77" s="19" t="str">
        <x:v>Interaction and UI cue bank</x:v>
      </x:c>
      <x:c r="C77" s="19" t="str">
        <x:v>Audio files + manifest</x:v>
      </x:c>
      <x:c r="D77" s="19" t="str">
        <x:v>Spatial attachment only when required</x:v>
      </x:c>
      <x:c r="E77" s="19" t="str">
        <x:v>Not applicable</x:v>
      </x:c>
      <x:c r="F77" s="19" t="str">
        <x:v>Not applicable</x:v>
      </x:c>
      <x:c r="G77" s="19" t="str"/>
      <x:c r="H77" s="19" t="str">
        <x:v>Source/rights manifest, loudness review, trims, import permissions and published-place playback checked.</x:v>
      </x:c>
    </x:row>
    <x:row r="78" ht="80" customHeight="1">
      <x:c r="A78" s="19" t="str">
        <x:v>S04</x:v>
      </x:c>
      <x:c r="B78" s="19" t="str">
        <x:v>Quiet waterfront ambience</x:v>
      </x:c>
      <x:c r="C78" s="19" t="str">
        <x:v>Audio files + manifest</x:v>
      </x:c>
      <x:c r="D78" s="19" t="str">
        <x:v>Spatial attachment only when required</x:v>
      </x:c>
      <x:c r="E78" s="19" t="str">
        <x:v>Not applicable</x:v>
      </x:c>
      <x:c r="F78" s="19" t="str">
        <x:v>Not applicable</x:v>
      </x:c>
      <x:c r="G78" s="19" t="str"/>
      <x:c r="H78" s="19" t="str">
        <x:v>Source/rights manifest, loudness review, trims, import permissions and published-place playback checked.</x:v>
      </x:c>
    </x:row>
    <x:row r="79">
      <x:c r="A79" s="2"/>
      <x:c r="B79" s="2"/>
      <x:c r="C79" s="2"/>
      <x:c r="D79" s="2"/>
      <x:c r="E79" s="2"/>
      <x:c r="F79" s="2"/>
      <x:c r="G79" s="2"/>
      <x:c r="H79" s="2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a524b1a38724c00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34" hidden="0" customWidth="1"/>
    <x:col min="3" max="3" width="29" hidden="0" customWidth="1"/>
    <x:col min="4" max="4" width="18" hidden="0" customWidth="1"/>
    <x:col min="5" max="5" width="18" hidden="0" customWidth="1"/>
    <x:col min="6" max="6" width="32" hidden="0" customWidth="1"/>
    <x:col min="7" max="7" width="24" hidden="0" customWidth="1"/>
  </x:cols>
  <x:sheetData>
    <x:row r="1" ht="32" customHeight="1">
      <x:c r="A1" s="5" t="str">
        <x:v>TRIPO RECIPES</x:v>
      </x:c>
      <x:c r="B1" s="5"/>
      <x:c r="C1" s="5"/>
      <x:c r="D1" s="5"/>
      <x:c r="E1" s="5"/>
      <x:c r="F1" s="5"/>
      <x:c r="G1" s="5"/>
    </x:row>
    <x:row r="2" ht="34" customHeight="1">
      <x:c r="A2" s="10" t="str">
        <x:v>20 proposed candidates, not 20 paid jobs. A verified reference, live docs, supported schema and an approved spending cap are required.</x:v>
      </x:c>
      <x:c r="B2" s="10"/>
      <x:c r="C2" s="10"/>
      <x:c r="D2" s="10"/>
      <x:c r="E2" s="10"/>
      <x:c r="F2" s="10"/>
      <x:c r="G2" s="10"/>
    </x:row>
    <x:row r="3">
      <x:c r="A3" s="2"/>
      <x:c r="B3" s="2"/>
      <x:c r="C3" s="2"/>
      <x:c r="D3" s="2"/>
      <x:c r="E3" s="2"/>
      <x:c r="F3" s="2"/>
      <x:c r="G3" s="2"/>
    </x:row>
    <x:row r="4" ht="32" customHeight="1">
      <x:c r="A4" s="15" t="str">
        <x:v>ID</x:v>
      </x:c>
      <x:c r="B4" s="15" t="str">
        <x:v>Asset</x:v>
      </x:c>
      <x:c r="C4" s="15" t="str">
        <x:v>Profile</x:v>
      </x:c>
      <x:c r="D4" s="15" t="str">
        <x:v>Candidate face cap</x:v>
      </x:c>
      <x:c r="E4" s="15" t="str">
        <x:v>Full asset tri cap</x:v>
      </x:c>
      <x:c r="F4" s="15" t="str">
        <x:v>Status</x:v>
      </x:c>
      <x:c r="G4" s="15" t="str">
        <x:v>Reference state</x:v>
      </x:c>
    </x:row>
    <x:row r="5" ht="46" customHeight="1">
      <x:c r="A5" s="19" t="str">
        <x:v>H01</x:v>
      </x:c>
      <x:c r="B5" s="19" t="str">
        <x:v>MK-I sampler workstation</x:v>
      </x:c>
      <x:c r="C5" s="19" t="str">
        <x:v>P1_GEOMETRY_FIRST</x:v>
      </x:c>
      <x:c r="D5" s="19" t="n">
        <x:v>2200</x:v>
      </x:c>
      <x:c r="E5" s="19" t="n">
        <x:v>4500</x:v>
      </x:c>
      <x:c r="F5" s="19" t="str">
        <x:v>BLOCKED_REFERENCE_AND_PREFLIGHT</x:v>
      </x:c>
      <x:c r="G5" s="19" t="str">
        <x:v>STYLE_ONLY</x:v>
      </x:c>
    </x:row>
    <x:row r="6" ht="46" customHeight="1">
      <x:c r="A6" s="19" t="str">
        <x:v>H02</x:v>
      </x:c>
      <x:c r="B6" s="19" t="str">
        <x:v>Compact speaker stack</x:v>
      </x:c>
      <x:c r="C6" s="19" t="str">
        <x:v>P1_GEOMETRY_FIRST</x:v>
      </x:c>
      <x:c r="D6" s="19" t="n">
        <x:v>1800</x:v>
      </x:c>
      <x:c r="E6" s="19" t="n">
        <x:v>2200</x:v>
      </x:c>
      <x:c r="F6" s="19" t="str">
        <x:v>BLOCKED_REFERENCE_AND_PREFLIGHT</x:v>
      </x:c>
      <x:c r="G6" s="19" t="str">
        <x:v>STYLE_ONLY</x:v>
      </x:c>
    </x:row>
    <x:row r="7" ht="46" customHeight="1">
      <x:c r="A7" s="19" t="str">
        <x:v>H03</x:v>
      </x:c>
      <x:c r="B7" s="19" t="str">
        <x:v>Vinyl crate and record insert</x:v>
      </x:c>
      <x:c r="C7" s="19" t="str">
        <x:v>P1_GEOMETRY_FIRST</x:v>
      </x:c>
      <x:c r="D7" s="19" t="n">
        <x:v>650</x:v>
      </x:c>
      <x:c r="E7" s="19" t="n">
        <x:v>950</x:v>
      </x:c>
      <x:c r="F7" s="19" t="str">
        <x:v>BLOCKED_REFERENCE_AND_PREFLIGHT</x:v>
      </x:c>
      <x:c r="G7" s="19" t="str">
        <x:v>STYLE_ONLY</x:v>
      </x:c>
    </x:row>
    <x:row r="8" ht="46" customHeight="1">
      <x:c r="A8" s="19" t="str">
        <x:v>H04</x:v>
      </x:c>
      <x:c r="B8" s="19" t="str">
        <x:v>Maintenance helper robot</x:v>
      </x:c>
      <x:c r="C8" s="19" t="str">
        <x:v>P1_GEOMETRY_FIRST</x:v>
      </x:c>
      <x:c r="D8" s="19" t="n">
        <x:v>3500</x:v>
      </x:c>
      <x:c r="E8" s="19" t="n">
        <x:v>5000</x:v>
      </x:c>
      <x:c r="F8" s="19" t="str">
        <x:v>BLOCKED_REFERENCE_AND_PREFLIGHT</x:v>
      </x:c>
      <x:c r="G8" s="19" t="str">
        <x:v>STYLE_ONLY</x:v>
      </x:c>
    </x:row>
    <x:row r="9" ht="46" customHeight="1">
      <x:c r="A9" s="19" t="str">
        <x:v>H05</x:v>
      </x:c>
      <x:c r="B9" s="19" t="str">
        <x:v>Curved street lamp</x:v>
      </x:c>
      <x:c r="C9" s="19" t="str">
        <x:v>P1_GEOMETRY_FIRST</x:v>
      </x:c>
      <x:c r="D9" s="19" t="n">
        <x:v>900</x:v>
      </x:c>
      <x:c r="E9" s="19" t="n">
        <x:v>1100</x:v>
      </x:c>
      <x:c r="F9" s="19" t="str">
        <x:v>BLOCKED_REFERENCE_AND_PREFLIGHT</x:v>
      </x:c>
      <x:c r="G9" s="19" t="str">
        <x:v>STYLE_ONLY</x:v>
      </x:c>
    </x:row>
    <x:row r="10" ht="46" customHeight="1">
      <x:c r="A10" s="19" t="str">
        <x:v>P01</x:v>
      </x:c>
      <x:c r="B10" s="19" t="str">
        <x:v>Studio workbench</x:v>
      </x:c>
      <x:c r="C10" s="19" t="str">
        <x:v>P1_GEOMETRY_FIRST</x:v>
      </x:c>
      <x:c r="D10" s="19" t="n">
        <x:v>700</x:v>
      </x:c>
      <x:c r="E10" s="19" t="n">
        <x:v>900</x:v>
      </x:c>
      <x:c r="F10" s="19" t="str">
        <x:v>BLOCKED_REFERENCE_AND_PREFLIGHT</x:v>
      </x:c>
      <x:c r="G10" s="19" t="str">
        <x:v>STYLE_ONLY</x:v>
      </x:c>
    </x:row>
    <x:row r="11" ht="46" customHeight="1">
      <x:c r="A11" s="19" t="str">
        <x:v>P02</x:v>
      </x:c>
      <x:c r="B11" s="19" t="str">
        <x:v>Round workshop stool</x:v>
      </x:c>
      <x:c r="C11" s="19" t="str">
        <x:v>P1_GEOMETRY_FIRST</x:v>
      </x:c>
      <x:c r="D11" s="19" t="n">
        <x:v>350</x:v>
      </x:c>
      <x:c r="E11" s="19" t="n">
        <x:v>450</x:v>
      </x:c>
      <x:c r="F11" s="19" t="str">
        <x:v>BLOCKED_REFERENCE_AND_PREFLIGHT</x:v>
      </x:c>
      <x:c r="G11" s="19" t="str">
        <x:v>STYLE_ONLY</x:v>
      </x:c>
    </x:row>
    <x:row r="12" ht="46" customHeight="1">
      <x:c r="A12" s="19" t="str">
        <x:v>P03</x:v>
      </x:c>
      <x:c r="B12" s="19" t="str">
        <x:v>Listening bench</x:v>
      </x:c>
      <x:c r="C12" s="19" t="str">
        <x:v>P1_GEOMETRY_FIRST</x:v>
      </x:c>
      <x:c r="D12" s="19" t="n">
        <x:v>500</x:v>
      </x:c>
      <x:c r="E12" s="19" t="n">
        <x:v>650</x:v>
      </x:c>
      <x:c r="F12" s="19" t="str">
        <x:v>BLOCKED_REFERENCE_AND_PREFLIGHT</x:v>
      </x:c>
      <x:c r="G12" s="19" t="str">
        <x:v>STYLE_ONLY</x:v>
      </x:c>
    </x:row>
    <x:row r="13" ht="46" customHeight="1">
      <x:c r="A13" s="19" t="str">
        <x:v>P04</x:v>
      </x:c>
      <x:c r="B13" s="19" t="str">
        <x:v>Record browsing bin</x:v>
      </x:c>
      <x:c r="C13" s="19" t="str">
        <x:v>P1_GEOMETRY_FIRST</x:v>
      </x:c>
      <x:c r="D13" s="19" t="n">
        <x:v>650</x:v>
      </x:c>
      <x:c r="E13" s="19" t="n">
        <x:v>800</x:v>
      </x:c>
      <x:c r="F13" s="19" t="str">
        <x:v>BLOCKED_REFERENCE_AND_PREFLIGHT</x:v>
      </x:c>
      <x:c r="G13" s="19" t="str">
        <x:v>STYLE_ONLY</x:v>
      </x:c>
    </x:row>
    <x:row r="14" ht="46" customHeight="1">
      <x:c r="A14" s="19" t="str">
        <x:v>P05</x:v>
      </x:c>
      <x:c r="B14" s="19" t="str">
        <x:v>Wall shelf</x:v>
      </x:c>
      <x:c r="C14" s="19" t="str">
        <x:v>P1_GEOMETRY_FIRST</x:v>
      </x:c>
      <x:c r="D14" s="19" t="n">
        <x:v>250</x:v>
      </x:c>
      <x:c r="E14" s="19" t="n">
        <x:v>300</x:v>
      </x:c>
      <x:c r="F14" s="19" t="str">
        <x:v>BLOCKED_REFERENCE_AND_PREFLIGHT</x:v>
      </x:c>
      <x:c r="G14" s="19" t="str">
        <x:v>STYLE_ONLY</x:v>
      </x:c>
    </x:row>
    <x:row r="15" ht="46" customHeight="1">
      <x:c r="A15" s="19" t="str">
        <x:v>P06</x:v>
      </x:c>
      <x:c r="B15" s="19" t="str">
        <x:v>Storage crate</x:v>
      </x:c>
      <x:c r="C15" s="19" t="str">
        <x:v>P1_GEOMETRY_FIRST</x:v>
      </x:c>
      <x:c r="D15" s="19" t="n">
        <x:v>280</x:v>
      </x:c>
      <x:c r="E15" s="19" t="n">
        <x:v>350</x:v>
      </x:c>
      <x:c r="F15" s="19" t="str">
        <x:v>BLOCKED_REFERENCE_AND_PREFLIGHT</x:v>
      </x:c>
      <x:c r="G15" s="19" t="str">
        <x:v>STYLE_ONLY</x:v>
      </x:c>
    </x:row>
    <x:row r="16" ht="46" customHeight="1">
      <x:c r="A16" s="19" t="str">
        <x:v>P07</x:v>
      </x:c>
      <x:c r="B16" s="19" t="str">
        <x:v>Headphones</x:v>
      </x:c>
      <x:c r="C16" s="19" t="str">
        <x:v>P1_GEOMETRY_FIRST</x:v>
      </x:c>
      <x:c r="D16" s="19" t="n">
        <x:v>800</x:v>
      </x:c>
      <x:c r="E16" s="19" t="n">
        <x:v>1000</x:v>
      </x:c>
      <x:c r="F16" s="19" t="str">
        <x:v>BLOCKED_REFERENCE_AND_PREFLIGHT</x:v>
      </x:c>
      <x:c r="G16" s="19" t="str">
        <x:v>STYLE_ONLY</x:v>
      </x:c>
    </x:row>
    <x:row r="17" ht="46" customHeight="1">
      <x:c r="A17" s="19" t="str">
        <x:v>P11</x:v>
      </x:c>
      <x:c r="B17" s="19" t="str">
        <x:v>Planter pot</x:v>
      </x:c>
      <x:c r="C17" s="19" t="str">
        <x:v>P1_GEOMETRY_FIRST</x:v>
      </x:c>
      <x:c r="D17" s="19" t="n">
        <x:v>300</x:v>
      </x:c>
      <x:c r="E17" s="19" t="n">
        <x:v>400</x:v>
      </x:c>
      <x:c r="F17" s="19" t="str">
        <x:v>BLOCKED_REFERENCE_AND_PREFLIGHT</x:v>
      </x:c>
      <x:c r="G17" s="19" t="str">
        <x:v>STYLE_ONLY</x:v>
      </x:c>
    </x:row>
    <x:row r="18" ht="46" customHeight="1">
      <x:c r="A18" s="19" t="str">
        <x:v>P12</x:v>
      </x:c>
      <x:c r="B18" s="19" t="str">
        <x:v>Broad-leaf plant cluster</x:v>
      </x:c>
      <x:c r="C18" s="19" t="str">
        <x:v>P1_GEOMETRY_FIRST</x:v>
      </x:c>
      <x:c r="D18" s="19" t="n">
        <x:v>450</x:v>
      </x:c>
      <x:c r="E18" s="19" t="n">
        <x:v>550</x:v>
      </x:c>
      <x:c r="F18" s="19" t="str">
        <x:v>BLOCKED_REFERENCE_AND_PREFLIGHT</x:v>
      </x:c>
      <x:c r="G18" s="19" t="str">
        <x:v>STYLE_ONLY</x:v>
      </x:c>
    </x:row>
    <x:row r="19" ht="46" customHeight="1">
      <x:c r="A19" s="19" t="str">
        <x:v>P13</x:v>
      </x:c>
      <x:c r="B19" s="19" t="str">
        <x:v>Wall / pendant lamp family</x:v>
      </x:c>
      <x:c r="C19" s="19" t="str">
        <x:v>P1_GEOMETRY_FIRST</x:v>
      </x:c>
      <x:c r="D19" s="19" t="n">
        <x:v>400</x:v>
      </x:c>
      <x:c r="E19" s="19" t="n">
        <x:v>500</x:v>
      </x:c>
      <x:c r="F19" s="19" t="str">
        <x:v>BLOCKED_REFERENCE_AND_PREFLIGHT</x:v>
      </x:c>
      <x:c r="G19" s="19" t="str">
        <x:v>STYLE_ONLY</x:v>
      </x:c>
    </x:row>
    <x:row r="20" ht="46" customHeight="1">
      <x:c r="A20" s="19" t="str">
        <x:v>P14</x:v>
      </x:c>
      <x:c r="B20" s="19" t="str">
        <x:v>Utility junction box</x:v>
      </x:c>
      <x:c r="C20" s="19" t="str">
        <x:v>P1_GEOMETRY_FIRST</x:v>
      </x:c>
      <x:c r="D20" s="19" t="n">
        <x:v>300</x:v>
      </x:c>
      <x:c r="E20" s="19" t="n">
        <x:v>400</x:v>
      </x:c>
      <x:c r="F20" s="19" t="str">
        <x:v>BLOCKED_REFERENCE_AND_PREFLIGHT</x:v>
      </x:c>
      <x:c r="G20" s="19" t="str">
        <x:v>STYLE_ONLY</x:v>
      </x:c>
    </x:row>
    <x:row r="21" ht="46" customHeight="1">
      <x:c r="A21" s="19" t="str">
        <x:v>P16</x:v>
      </x:c>
      <x:c r="B21" s="19" t="str">
        <x:v>Rooftop vent / duct</x:v>
      </x:c>
      <x:c r="C21" s="19" t="str">
        <x:v>P1_GEOMETRY_FIRST</x:v>
      </x:c>
      <x:c r="D21" s="19" t="n">
        <x:v>400</x:v>
      </x:c>
      <x:c r="E21" s="19" t="n">
        <x:v>500</x:v>
      </x:c>
      <x:c r="F21" s="19" t="str">
        <x:v>BLOCKED_REFERENCE_AND_PREFLIGHT</x:v>
      </x:c>
      <x:c r="G21" s="19" t="str">
        <x:v>STYLE_ONLY</x:v>
      </x:c>
    </x:row>
    <x:row r="22" ht="46" customHeight="1">
      <x:c r="A22" s="19" t="str">
        <x:v>I01</x:v>
      </x:c>
      <x:c r="B22" s="19" t="str">
        <x:v>Metal strike-sign discovery node</x:v>
      </x:c>
      <x:c r="C22" s="19" t="str">
        <x:v>P1_GEOMETRY_FIRST</x:v>
      </x:c>
      <x:c r="D22" s="19" t="n">
        <x:v>250</x:v>
      </x:c>
      <x:c r="E22" s="19" t="n">
        <x:v>300</x:v>
      </x:c>
      <x:c r="F22" s="19" t="str">
        <x:v>BLOCKED_REFERENCE_AND_PREFLIGHT</x:v>
      </x:c>
      <x:c r="G22" s="19" t="str">
        <x:v>STYLE_ONLY</x:v>
      </x:c>
    </x:row>
    <x:row r="23" ht="46" customHeight="1">
      <x:c r="A23" s="19" t="str">
        <x:v>I04</x:v>
      </x:c>
      <x:c r="B23" s="19" t="str">
        <x:v>Workshop resonator junction</x:v>
      </x:c>
      <x:c r="C23" s="19" t="str">
        <x:v>P1_GEOMETRY_FIRST</x:v>
      </x:c>
      <x:c r="D23" s="19" t="n">
        <x:v>500</x:v>
      </x:c>
      <x:c r="E23" s="19" t="n">
        <x:v>650</x:v>
      </x:c>
      <x:c r="F23" s="19" t="str">
        <x:v>BLOCKED_REFERENCE_AND_PREFLIGHT</x:v>
      </x:c>
      <x:c r="G23" s="19" t="str">
        <x:v>STYLE_ONLY</x:v>
      </x:c>
    </x:row>
    <x:row r="24" ht="46" customHeight="1">
      <x:c r="A24" s="19" t="str">
        <x:v>I05</x:v>
      </x:c>
      <x:c r="B24" s="19" t="str">
        <x:v>Listening-stage control podium</x:v>
      </x:c>
      <x:c r="C24" s="19" t="str">
        <x:v>P1_GEOMETRY_FIRST</x:v>
      </x:c>
      <x:c r="D24" s="19" t="n">
        <x:v>650</x:v>
      </x:c>
      <x:c r="E24" s="19" t="n">
        <x:v>800</x:v>
      </x:c>
      <x:c r="F24" s="19" t="str">
        <x:v>BLOCKED_REFERENCE_AND_PREFLIGHT</x:v>
      </x:c>
      <x:c r="G24" s="19" t="str">
        <x:v>STYLE_ONLY</x:v>
      </x:c>
    </x:row>
    <x:row r="25">
      <x:c r="A25" s="2"/>
      <x:c r="B25" s="2"/>
      <x:c r="C25" s="2"/>
      <x:c r="D25" s="2"/>
      <x:c r="E25" s="2"/>
      <x:c r="F25" s="2"/>
      <x:c r="G25" s="2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363341facfd4d92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34" hidden="0" customWidth="1"/>
    <x:col min="3" max="3" width="55" hidden="0" customWidth="1"/>
    <x:col min="4" max="4" width="16" hidden="0" customWidth="1"/>
    <x:col min="5" max="5" width="68" hidden="0" customWidth="1"/>
  </x:cols>
  <x:sheetData>
    <x:row r="1" ht="32" customHeight="1">
      <x:c r="A1" s="5" t="str">
        <x:v>SOURCES</x:v>
      </x:c>
      <x:c r="B1" s="5"/>
      <x:c r="C1" s="5"/>
      <x:c r="D1" s="5"/>
      <x:c r="E1" s="5"/>
    </x:row>
    <x:row r="2" ht="34" customHeight="1">
      <x:c r="A2" s="10" t="str">
        <x:v>Official sources checked 2026-10-22. Reopen current pages and connected schemas before every production batch. These are not immutable API contracts.</x:v>
      </x:c>
      <x:c r="B2" s="10"/>
      <x:c r="C2" s="10"/>
      <x:c r="D2" s="10"/>
      <x:c r="E2" s="10"/>
    </x:row>
    <x:row r="3">
      <x:c r="A3" s="2"/>
      <x:c r="B3" s="2"/>
      <x:c r="C3" s="2"/>
      <x:c r="D3" s="2"/>
      <x:c r="E3" s="2"/>
    </x:row>
    <x:row r="4" ht="32" customHeight="1">
      <x:c r="A4" s="15" t="str">
        <x:v>Source ID</x:v>
      </x:c>
      <x:c r="B4" s="15" t="str">
        <x:v>Official document</x:v>
      </x:c>
      <x:c r="C4" s="15" t="str">
        <x:v>Official URL</x:v>
      </x:c>
      <x:c r="D4" s="15" t="str">
        <x:v>Checked on</x:v>
      </x:c>
      <x:c r="E4" s="15" t="str">
        <x:v>Qualification / notes</x:v>
      </x:c>
    </x:row>
    <x:row r="5" ht="68" customHeight="1">
      <x:c r="A5" s="19" t="str">
        <x:v>T01</x:v>
      </x:c>
      <x:c r="B5" s="19" t="str">
        <x:v>Tripo P1 model card</x:v>
      </x:c>
      <x:c r="C5" s="19" t="str">
        <x:v>https://developers.tripo3d.ai/en/models/p1</x:v>
      </x:c>
      <x:c r="D5" s="19" t="str">
        <x:v>2026-10-22</x:v>
      </x:c>
      <x:c r="E5" s="19" t="str">
        <x:v>Dedicated low-poly model P1-20260311. Does not support smart_low_poly, generate_parts, quad or geometry_quality. Use explicit per-asset limits; verify current availability before work.</x:v>
      </x:c>
    </x:row>
    <x:row r="6" ht="68" customHeight="1">
      <x:c r="A6" s="19" t="str">
        <x:v>T02</x:v>
      </x:c>
      <x:c r="B6" s="19" t="str">
        <x:v>Tripo P-series image generation</x:v>
      </x:c>
      <x:c r="C6" s="19" t="str">
        <x:v>https://developers.tripo3d.ai/en/docs/generation-image-to-model/p</x:v>
      </x:c>
      <x:c r="D6" s="19" t="str">
        <x:v>2026-10-22</x:v>
      </x:c>
      <x:c r="E6" s="19" t="str">
        <x:v>V3 uses input and model. Image sources can be uploaded tokens or direct image URLs. PBR forces texturing. Retrieved revisions disagree on whether P2 is listed; recheck at execution.</x:v>
      </x:c>
    </x:row>
    <x:row r="7" ht="68" customHeight="1">
      <x:c r="A7" s="19" t="str">
        <x:v>T03</x:v>
      </x:c>
      <x:c r="B7" s="19" t="str">
        <x:v>Tripo H-series generation</x:v>
      </x:c>
      <x:c r="C7" s="19" t="str">
        <x:v>https://developers.tripo3d.ai/en/docs/generation-text-to-model/standard</x:v>
      </x:c>
      <x:c r="D7" s="19" t="str">
        <x:v>2026-10-22</x:v>
      </x:c>
      <x:c r="E7" s="19" t="str">
        <x:v>H3.1 supports smart_low_poly; set explicit face_limit. Prompt limit is documented as 1024 characters and negative_prompt as 255. Parts mode has incompatible options; do not combine it with this pack’s low-poly profile.</x:v>
      </x:c>
    </x:row>
    <x:row r="8" ht="68" customHeight="1">
      <x:c r="A8" s="19" t="str">
        <x:v>T04</x:v>
      </x:c>
      <x:c r="B8" s="19" t="str">
        <x:v>Tripo P2 model card</x:v>
      </x:c>
      <x:c r="C8" s="19" t="str">
        <x:v>https://developers.tripo3d.ai/en/models/p2</x:v>
      </x:c>
      <x:c r="D8" s="19" t="str">
        <x:v>2026-10-22</x:v>
      </x:c>
      <x:c r="E8" s="19" t="str">
        <x:v>P2-20260801 is listed as Preview in current search-indexed official content. It supports triangle/quad output and higher budgets; not the production default here. Page fetch was unavailable, so reconfirm full endpoint schema before opting in.</x:v>
      </x:c>
    </x:row>
    <x:row r="9" ht="68" customHeight="1">
      <x:c r="A9" s="19" t="str">
        <x:v>T05</x:v>
      </x:c>
      <x:c r="B9" s="19" t="str">
        <x:v>Tripo CLI</x:v>
      </x:c>
      <x:c r="C9" s="19" t="str">
        <x:v>https://developers.tripo3d.ai/en/docs/cli</x:v>
      </x:c>
      <x:c r="D9" s="19" t="str">
        <x:v>2026-10-22</x:v>
      </x:c>
      <x:c r="E9" s="19" t="str">
        <x:v>Official CLI documents browser login, doctor, named production presets including game-mobile, and resumable batch workflows. Inspect installed help and resolved parameters rather than guessing extra flags.</x:v>
      </x:c>
    </x:row>
    <x:row r="10" ht="68" customHeight="1">
      <x:c r="A10" s="19" t="str">
        <x:v>T06</x:v>
      </x:c>
      <x:c r="B10" s="19" t="str">
        <x:v>Tripo Codex plugin</x:v>
      </x:c>
      <x:c r="C10" s="19" t="str">
        <x:v>https://developers.tripo3d.ai/en/docs/codex-plugin</x:v>
      </x:c>
      <x:c r="D10" s="19" t="str">
        <x:v>2026-10-22</x:v>
      </x:c>
      <x:c r="E10" s="19" t="str">
        <x:v>Official indexed guide describes a Codex plugin that writes assets into the project, uses browser sign-in and expects confirmation for multi-model spending. Direct page fetch failed; availability in the user’s Codex environment remains unverified.</x:v>
      </x:c>
    </x:row>
    <x:row r="11" ht="68" customHeight="1">
      <x:c r="A11" s="19" t="str">
        <x:v>T07</x:v>
      </x:c>
      <x:c r="B11" s="19" t="str">
        <x:v>Tripo task query</x:v>
      </x:c>
      <x:c r="C11" s="19" t="str">
        <x:v>https://developers.tripo3d.ai/en/docs/task-query</x:v>
      </x:c>
      <x:c r="D11" s="19" t="str">
        <x:v>2026-10-22</x:v>
      </x:c>
      <x:c r="E11" s="19" t="str">
        <x:v>GET /v3/tasks/{task_id} exposes status, output and accounting fields. Keep task identifiers and download files after successful completion; task success is not art or engine acceptance.</x:v>
      </x:c>
    </x:row>
    <x:row r="12" ht="68" customHeight="1">
      <x:c r="A12" s="19" t="str">
        <x:v>T08</x:v>
      </x:c>
      <x:c r="B12" s="19" t="str">
        <x:v>Tripo billing</x:v>
      </x:c>
      <x:c r="C12" s="19" t="str">
        <x:v>https://developers.tripo3d.ai/en/docs/billing</x:v>
      </x:c>
      <x:c r="D12" s="19" t="str">
        <x:v>2026-10-22</x:v>
      </x:c>
      <x:c r="E12" s="19" t="str">
        <x:v>V3 balance and usage are read-only account endpoints. Credit freezing, settlement and failures must be reconciled with actual account/task evidence; do not infer a spend allowance from balance.</x:v>
      </x:c>
    </x:row>
    <x:row r="13" ht="68" customHeight="1">
      <x:c r="A13" s="19" t="str">
        <x:v>T09</x:v>
      </x:c>
      <x:c r="B13" s="19" t="str">
        <x:v>Tripo retopology</x:v>
      </x:c>
      <x:c r="C13" s="19" t="str">
        <x:v>https://developers.tripo3d.ai/en/docs/mesh-decimate</x:v>
      </x:c>
      <x:c r="D13" s="19" t="str">
        <x:v>2026-10-22</x:v>
      </x:c>
      <x:c r="E13" s="19" t="str">
        <x:v>Retopology is POST /v3/mesh/decimate. Retrieved page lists v1/v2; newer indexed content adds v3 and smart_uv. This pack supplies no unverified v3 retopology payload; resolve the discrepancy live.</x:v>
      </x:c>
    </x:row>
    <x:row r="14" ht="68" customHeight="1">
      <x:c r="A14" s="19" t="str">
        <x:v>T10</x:v>
      </x:c>
      <x:c r="B14" s="19" t="str">
        <x:v>Tripo conversion</x:v>
      </x:c>
      <x:c r="C14" s="19" t="str">
        <x:v>https://developers.tripo3d.ai/en/docs/models-convert</x:v>
      </x:c>
      <x:c r="D14" s="19" t="str">
        <x:v>2026-10-22</x:v>
      </x:c>
      <x:c r="E14" s="19" t="str">
        <x:v>POST /v3/models/convert supports FBX and texture-size controls. Conversion is distinct from topology repair. Preserve authoring masters and validate the result after DCC export.</x:v>
      </x:c>
    </x:row>
    <x:row r="15" ht="68" customHeight="1">
      <x:c r="A15" s="19" t="str">
        <x:v>T11</x:v>
      </x:c>
      <x:c r="B15" s="19" t="str">
        <x:v>Tripo multiview P series</x:v>
      </x:c>
      <x:c r="C15" s="19" t="str">
        <x:v>https://developers.tripo3d.ai/en/docs/generation-multiview-to-model/p</x:v>
      </x:c>
      <x:c r="D15" s="19" t="str">
        <x:v>2026-10-22</x:v>
      </x:c>
      <x:c r="E15" s="19" t="str">
        <x:v>Multiview uses separate consistent views and documented view keys; front is required. The retrieved reference supports front/left/back/right. Do not feed a contact sheet as if it were one view.</x:v>
      </x:c>
    </x:row>
    <x:row r="16" ht="68" customHeight="1">
      <x:c r="A16" s="19" t="str">
        <x:v>T12</x:v>
      </x:c>
      <x:c r="B16" s="19" t="str">
        <x:v>Tripo texture processing</x:v>
      </x:c>
      <x:c r="C16" s="19" t="str">
        <x:v>https://developers.tripo3d.ai/en/docs/models-texture</x:v>
      </x:c>
      <x:c r="D16" s="19" t="str">
        <x:v>2026-10-22</x:v>
      </x:c>
      <x:c r="E16" s="19" t="str">
        <x:v>Texturing is a separate model-processing task. Texture guidance modes have compatibility constraints. Reuse accepted geometry rather than creating new geometry to fix only color.</x:v>
      </x:c>
    </x:row>
    <x:row r="17" ht="68" customHeight="1">
      <x:c r="A17" s="19" t="str">
        <x:v>T13</x:v>
      </x:c>
      <x:c r="B17" s="19" t="str">
        <x:v>Official Tripo MCP repository</x:v>
      </x:c>
      <x:c r="C17" s="19" t="str">
        <x:v>https://github.com/VAST-AI-Research/tripo-mcp</x:v>
      </x:c>
      <x:c r="D17" s="19" t="str">
        <x:v>2026-10-22</x:v>
      </x:c>
      <x:c r="E17" s="19" t="str">
        <x:v>The repository describes an alpha Blender-addon integration. This is not proof that the user’s installed connector exposes the current v3 schema or low-poly controls.</x:v>
      </x:c>
    </x:row>
    <x:row r="18" ht="68" customHeight="1">
      <x:c r="A18" s="19" t="str">
        <x:v>T14</x:v>
      </x:c>
      <x:c r="B18" s="19" t="str">
        <x:v>Official Tripo JavaScript SDK</x:v>
      </x:c>
      <x:c r="C18" s="19" t="str">
        <x:v>https://github.com/VAST-AI-Research/tripo-js-sdk</x:v>
      </x:c>
      <x:c r="D18" s="19" t="str">
        <x:v>2026-10-22</x:v>
      </x:c>
      <x:c r="E18" s="19" t="str">
        <x:v>SDK targets the v3 API, unlike the legacy v2 task endpoint. It documents configurable retry behavior and short-lived output URLs; audit retries before enabling billable submissions.</x:v>
      </x:c>
    </x:row>
    <x:row r="19" ht="68" customHeight="1">
      <x:c r="A19" s="19" t="str">
        <x:v>R01</x:v>
      </x:c>
      <x:c r="B19" s="19" t="str">
        <x:v>Roblox Importer</x:v>
      </x:c>
      <x:c r="C19" s="19" t="str">
        <x:v>https://create.roblox.com/docs/studio/importer</x:v>
      </x:c>
      <x:c r="D19" s="19" t="str">
        <x:v>2026-10-22</x:v>
      </x:c>
      <x:c r="E19" s="19" t="str">
        <x:v>Importer documents FBX/glTF/OBJ and model hierarchies/PBR. Preserve the raw GLB as a source master; use a validated FBX or glTF delivery path, not a filename extension change.</x:v>
      </x:c>
    </x:row>
    <x:row r="20" ht="68" customHeight="1">
      <x:c r="A20" s="19" t="str">
        <x:v>R02</x:v>
      </x:c>
      <x:c r="B20" s="19" t="str">
        <x:v>Roblox texture specifications</x:v>
      </x:c>
      <x:c r="C20" s="19" t="str">
        <x:v>https://create.roblox.com/docs/art/modeling/texture-specifications</x:v>
      </x:c>
      <x:c r="D20" s="19" t="str">
        <x:v>2026-10-22</x:v>
      </x:c>
      <x:c r="E20" s="19" t="str">
        <x:v>One material per mesh object and one UV set are documented, plus OpenGL tangent-space normal maps. Retrieved text gives 4K near the top but 1K in a later UV section; no universal platform maximum is asserted in this pack.</x:v>
      </x:c>
    </x:row>
    <x:row r="21" ht="68" customHeight="1">
      <x:c r="A21" s="19" t="str">
        <x:v>R03</x:v>
      </x:c>
      <x:c r="B21" s="19" t="str">
        <x:v>Roblox performance guidance</x:v>
      </x:c>
      <x:c r="C21" s="19" t="str">
        <x:v>https://create.roblox.com/docs/performance-optimization/improve</x:v>
      </x:c>
      <x:c r="D21" s="19" t="str">
        <x:v>2026-10-22</x:v>
      </x:c>
      <x:c r="E21" s="19" t="str">
        <x:v>Guidance covers render fidelity, collision simplification and scene costs. Use Automatic/Performance where suitable, reuse assets, and measure actual scene behavior rather than trusting polygon count alone.</x:v>
      </x:c>
    </x:row>
    <x:row r="22" ht="68" customHeight="1">
      <x:c r="A22" s="19" t="str">
        <x:v>O01</x:v>
      </x:c>
      <x:c r="B22" s="19" t="str">
        <x:v>Codex MCP configuration</x:v>
      </x:c>
      <x:c r="C22" s="19" t="str">
        <x:v>https://developers.openai.com/codex/mcp</x:v>
      </x:c>
      <x:c r="D22" s="19" t="str">
        <x:v>2026-10-22</x:v>
      </x:c>
      <x:c r="E22" s="19" t="str">
        <x:v>Official documentation redirects to ChatGPT Learn. codex mcp list lists configured MCP servers; /mcp shows active servers. A native plugin may not appear as an MCP entry.</x:v>
      </x:c>
    </x:row>
    <x:row r="23" ht="68" customHeight="1">
      <x:c r="A23" s="19" t="str">
        <x:v>O02</x:v>
      </x:c>
      <x:c r="B23" s="19" t="str">
        <x:v>OpenAI documentation MCP</x:v>
      </x:c>
      <x:c r="C23" s="19" t="str">
        <x:v>https://developers.openai.com/learn/docs-mcp</x:v>
      </x:c>
      <x:c r="D23" s="19" t="str">
        <x:v>2026-10-22</x:v>
      </x:c>
      <x:c r="E23" s="19" t="str">
        <x:v>Official read-only documentation MCP is available for OpenAI/Codex product questions. It is not a Tripo API proxy and does not authenticate to Tripo.</x:v>
      </x:c>
    </x:row>
    <x:row r="24">
      <x:c r="A24" s="2"/>
      <x:c r="B24" s="2"/>
      <x:c r="C24" s="2"/>
      <x:c r="D24" s="2"/>
      <x:c r="E24" s="2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76d49d2216c48ff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22" hidden="0" customWidth="1"/>
    <x:col min="3" max="3" width="60" hidden="0" customWidth="1"/>
    <x:col min="4" max="4" width="19" hidden="0" customWidth="1"/>
    <x:col min="5" max="5" width="65" hidden="0" customWidth="1"/>
  </x:cols>
  <x:sheetData>
    <x:row r="1" ht="32" customHeight="1">
      <x:c r="A1" s="5" t="str">
        <x:v>ACCEPTANCE GATES</x:v>
      </x:c>
      <x:c r="B1" s="5"/>
      <x:c r="C1" s="5"/>
      <x:c r="D1" s="5"/>
      <x:c r="E1" s="5"/>
    </x:row>
    <x:row r="2" ht="34" customHeight="1">
      <x:c r="A2" s="10" t="str">
        <x:v>Readiness is evidence-based, not inferred from a provider status. Art, DCC and in-engine approval remain separate.</x:v>
      </x:c>
      <x:c r="B2" s="10"/>
      <x:c r="C2" s="10"/>
      <x:c r="D2" s="10"/>
      <x:c r="E2" s="10"/>
    </x:row>
    <x:row r="3">
      <x:c r="A3" s="2"/>
      <x:c r="B3" s="2"/>
      <x:c r="C3" s="2"/>
      <x:c r="D3" s="2"/>
      <x:c r="E3" s="2"/>
    </x:row>
    <x:row r="4" ht="32" customHeight="1">
      <x:c r="A4" s="15" t="str">
        <x:v>Gate</x:v>
      </x:c>
      <x:c r="B4" s="15" t="str">
        <x:v>Stage</x:v>
      </x:c>
      <x:c r="C4" s="15" t="str">
        <x:v>Required evidence</x:v>
      </x:c>
      <x:c r="D4" s="15" t="str">
        <x:v>Current state</x:v>
      </x:c>
      <x:c r="E4" s="15" t="str">
        <x:v>Failure / scope boundary</x:v>
      </x:c>
    </x:row>
    <x:row r="5" ht="65" customHeight="1">
      <x:c r="A5" s="19" t="str">
        <x:v>G0</x:v>
      </x:c>
      <x:c r="B5" s="19" t="str">
        <x:v>Preflight</x:v>
      </x:c>
      <x:c r="C5" s="19" t="str">
        <x:v>Fresh docs + connected schema + reference + cost/budget approval</x:v>
      </x:c>
      <x:c r="D5" s="19" t="str">
        <x:v>BLOCKED</x:v>
      </x:c>
      <x:c r="E5" s="19" t="str">
        <x:v>No connected runtime verified; templates intentionally fail closed.</x:v>
      </x:c>
    </x:row>
    <x:row r="6" ht="65" customHeight="1">
      <x:c r="A6" s="19" t="str">
        <x:v>G1</x:v>
      </x:c>
      <x:c r="B6" s="19" t="str">
        <x:v>Candidate</x:v>
      </x:c>
      <x:c r="C6" s="19" t="str">
        <x:v>Actual task ID; downloaded files; hashes; cost and lineage</x:v>
      </x:c>
      <x:c r="D6" s="19" t="str">
        <x:v>Not started</x:v>
      </x:c>
      <x:c r="E6" s="19" t="str">
        <x:v>A successful task is not an accepted asset.</x:v>
      </x:c>
    </x:row>
    <x:row r="7" ht="65" customHeight="1">
      <x:c r="A7" s="19" t="str">
        <x:v>G2</x:v>
      </x:c>
      <x:c r="B7" s="19" t="str">
        <x:v>DCC cleanup</x:v>
      </x:c>
      <x:c r="C7" s="19" t="str">
        <x:v>Measured triangles, bounds, UVs/maps, parts, pivots and collision</x:v>
      </x:c>
      <x:c r="D7" s="19" t="str">
        <x:v>Not started</x:v>
      </x:c>
      <x:c r="E7" s="19" t="str">
        <x:v>Count after modifiers and triangulation; inspect all repeated instances.</x:v>
      </x:c>
    </x:row>
    <x:row r="8" ht="65" customHeight="1">
      <x:c r="A8" s="19" t="str">
        <x:v>G3</x:v>
      </x:c>
      <x:c r="B8" s="19" t="str">
        <x:v>Art approval</x:v>
      </x:c>
      <x:c r="C8" s="19" t="str">
        <x:v>Neutral / dusk / gameplay-distance / effects-off comparisons</x:v>
      </x:c>
      <x:c r="D8" s="19" t="str">
        <x:v>Not started</x:v>
      </x:c>
      <x:c r="E8" s="19" t="str">
        <x:v>Reference art crops are not production-ready input images.</x:v>
      </x:c>
    </x:row>
    <x:row r="9" ht="65" customHeight="1">
      <x:c r="A9" s="19" t="str">
        <x:v>G4</x:v>
      </x:c>
      <x:c r="B9" s="19" t="str">
        <x:v>Studio import</x:v>
      </x:c>
      <x:c r="C9" s="19" t="str">
        <x:v>Actual IDs, ownership, hierarchy, importer warnings and scaling</x:v>
      </x:c>
      <x:c r="D9" s="19" t="str">
        <x:v>Not started</x:v>
      </x:c>
      <x:c r="E9" s="19" t="str">
        <x:v>Do not invent Roblox IDs or infer import success from a DCC preview.</x:v>
      </x:c>
    </x:row>
    <x:row r="10" ht="65" customHeight="1">
      <x:c r="A10" s="19" t="str">
        <x:v>G5</x:v>
      </x:c>
      <x:c r="B10" s="19" t="str">
        <x:v>Runtime</x:v>
      </x:c>
      <x:c r="C10" s="19" t="str">
        <x:v>Recorded device and quality; performance and two-player state checks</x:v>
      </x:c>
      <x:c r="D10" s="19" t="str">
        <x:v>Not started</x:v>
      </x:c>
      <x:c r="E10" s="19" t="str">
        <x:v>No runtime performance has been measured in this handoff.</x:v>
      </x:c>
    </x:row>
    <x:row r="11">
      <x:c r="A11" s="2"/>
      <x:c r="B11" s="2"/>
      <x:c r="C11" s="2"/>
      <x:c r="D11" s="2"/>
      <x:c r="E11" s="2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0cf2e4857574554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48" hidden="0" customWidth="1"/>
  </x:cols>
  <x:sheetData>
    <x:row r="1" ht="32" customHeight="1">
      <x:c r="A1" s="5" t="str">
        <x:v>SPEND LEDGER</x:v>
      </x:c>
      <x:c r="B1" s="5"/>
      <x:c r="C1" s="5"/>
      <x:c r="D1" s="5"/>
      <x:c r="E1" s="5"/>
      <x:c r="F1" s="5"/>
      <x:c r="G1" s="5"/>
    </x:row>
    <x:row r="2" ht="34" customHeight="1">
      <x:c r="A2" s="10" t="str">
        <x:v>No spending authorized. Enter a real batch approval and current quote; balance alone is not authorization. Values are provider credits, not EUR/USD.</x:v>
      </x:c>
      <x:c r="B2" s="10"/>
      <x:c r="C2" s="10"/>
      <x:c r="D2" s="10"/>
      <x:c r="E2" s="10"/>
      <x:c r="F2" s="10"/>
      <x:c r="G2" s="10"/>
    </x:row>
    <x:row r="3">
      <x:c r="A3" s="2"/>
      <x:c r="B3" s="2"/>
      <x:c r="C3" s="2"/>
      <x:c r="D3" s="2"/>
      <x:c r="E3" s="2"/>
      <x:c r="F3" s="2"/>
      <x:c r="G3" s="2"/>
    </x:row>
    <x:row r="4" ht="32" customHeight="1">
      <x:c r="A4" s="15" t="str">
        <x:v>Batch</x:v>
      </x:c>
      <x:c r="B4" s="15" t="str">
        <x:v>Approved cap</x:v>
      </x:c>
      <x:c r="C4" s="15" t="str">
        <x:v>Spent</x:v>
      </x:c>
      <x:c r="D4" s="15" t="str">
        <x:v>Reserved</x:v>
      </x:c>
      <x:c r="E4" s="15" t="str">
        <x:v>Remaining</x:v>
      </x:c>
      <x:c r="F4" s="15" t="str">
        <x:v>Authorization</x:v>
      </x:c>
      <x:c r="G4" s="15" t="str">
        <x:v>Evidence reference</x:v>
      </x:c>
    </x:row>
    <x:row r="5" ht="46" customHeight="1">
      <x:c r="A5" s="19" t="str">
        <x:v>B00</x:v>
      </x:c>
      <x:c r="B5" s="24" t="n">
        <x:v>0</x:v>
      </x:c>
      <x:c r="C5" s="24" t="n">
        <x:v>0</x:v>
      </x:c>
      <x:c r="D5" s="24" t="n">
        <x:v>0</x:v>
      </x:c>
      <x:c r="E5" s="22" t="n">
        <x:f>B5-C5-D5</x:f>
        <x:v>0</x:v>
      </x:c>
      <x:c r="F5" s="19" t="str">
        <x:v>NOT GRANTED</x:v>
      </x:c>
      <x:c r="G5" s="19" t="str"/>
    </x:row>
    <x:row r="6" ht="46" customHeight="1">
      <x:c r="A6" s="19" t="str">
        <x:v>B01</x:v>
      </x:c>
      <x:c r="B6" s="24" t="n">
        <x:v>0</x:v>
      </x:c>
      <x:c r="C6" s="24" t="n">
        <x:v>0</x:v>
      </x:c>
      <x:c r="D6" s="24" t="n">
        <x:v>0</x:v>
      </x:c>
      <x:c r="E6" s="22" t="n">
        <x:f>B6-C6-D6</x:f>
        <x:v>0</x:v>
      </x:c>
      <x:c r="F6" s="19" t="str">
        <x:v>NOT GRANTED</x:v>
      </x:c>
      <x:c r="G6" s="19" t="str"/>
    </x:row>
    <x:row r="7" ht="46" customHeight="1">
      <x:c r="A7" s="19" t="str">
        <x:v>B02</x:v>
      </x:c>
      <x:c r="B7" s="24" t="n">
        <x:v>0</x:v>
      </x:c>
      <x:c r="C7" s="24" t="n">
        <x:v>0</x:v>
      </x:c>
      <x:c r="D7" s="24" t="n">
        <x:v>0</x:v>
      </x:c>
      <x:c r="E7" s="22" t="n">
        <x:f>B7-C7-D7</x:f>
        <x:v>0</x:v>
      </x:c>
      <x:c r="F7" s="19" t="str">
        <x:v>NOT GRANTED</x:v>
      </x:c>
      <x:c r="G7" s="19" t="str"/>
    </x:row>
    <x:row r="8" ht="46" customHeight="1">
      <x:c r="A8" s="19" t="str">
        <x:v>B03</x:v>
      </x:c>
      <x:c r="B8" s="24" t="n">
        <x:v>0</x:v>
      </x:c>
      <x:c r="C8" s="24" t="n">
        <x:v>0</x:v>
      </x:c>
      <x:c r="D8" s="24" t="n">
        <x:v>0</x:v>
      </x:c>
      <x:c r="E8" s="22" t="n">
        <x:f>B8-C8-D8</x:f>
        <x:v>0</x:v>
      </x:c>
      <x:c r="F8" s="19" t="str">
        <x:v>NOT GRANTED</x:v>
      </x:c>
      <x:c r="G8" s="19" t="str"/>
    </x:row>
    <x:row r="9" ht="46" customHeight="1">
      <x:c r="A9" s="19" t="str">
        <x:v>B04</x:v>
      </x:c>
      <x:c r="B9" s="24" t="n">
        <x:v>0</x:v>
      </x:c>
      <x:c r="C9" s="24" t="n">
        <x:v>0</x:v>
      </x:c>
      <x:c r="D9" s="24" t="n">
        <x:v>0</x:v>
      </x:c>
      <x:c r="E9" s="22" t="n">
        <x:f>B9-C9-D9</x:f>
        <x:v>0</x:v>
      </x:c>
      <x:c r="F9" s="19" t="str">
        <x:v>NOT GRANTED</x:v>
      </x:c>
      <x:c r="G9" s="19" t="str"/>
    </x:row>
    <x:row r="10" ht="46" customHeight="1">
      <x:c r="A10" s="19" t="str">
        <x:v>B05</x:v>
      </x:c>
      <x:c r="B10" s="24" t="n">
        <x:v>0</x:v>
      </x:c>
      <x:c r="C10" s="24" t="n">
        <x:v>0</x:v>
      </x:c>
      <x:c r="D10" s="24" t="n">
        <x:v>0</x:v>
      </x:c>
      <x:c r="E10" s="22" t="n">
        <x:f>B10-C10-D10</x:f>
        <x:v>0</x:v>
      </x:c>
      <x:c r="F10" s="19" t="str">
        <x:v>NOT GRANTED</x:v>
      </x:c>
      <x:c r="G10" s="19" t="str"/>
    </x:row>
    <x:row r="11">
      <x:c r="A11" s="2"/>
      <x:c r="B11" s="2"/>
      <x:c r="C11" s="2"/>
      <x:c r="D11" s="2"/>
      <x:c r="E11" s="2"/>
      <x:c r="F11" s="2"/>
      <x:c r="G11" s="2"/>
    </x:row>
  </x:sheetData>
  <x:mergeCells>
    <x:mergeCell ref="A1:G1"/>
    <x:mergeCell ref="A2:G2"/>
  </x:mergeCells>
  <x:conditionalFormatting sqref="E5:E10">
    <x:cfRule type="cellIs" dxfId="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1576fd266c8486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0" customHeight="1">
      <x:c r="A1" s="26" t="str">
        <x:v>FREQUENCY ZERO  /  ASSET PRODUCTION</x:v>
      </x:c>
      <x:c r="B1" s="26"/>
      <x:c r="C1" s="26"/>
      <x:c r="D1" s="26"/>
      <x:c r="E1" s="26"/>
      <x:c r="F1" s="26"/>
      <x:c r="G1" s="26"/>
      <x:c r="H1" s="26"/>
    </x:row>
    <x:row r="2" ht="30" customHeight="1">
      <x:c r="A2" s="26"/>
      <x:c r="B2" s="26"/>
      <x:c r="C2" s="26"/>
      <x:c r="D2" s="26"/>
      <x:c r="E2" s="26"/>
      <x:c r="F2" s="26"/>
      <x:c r="G2" s="26"/>
      <x:c r="H2" s="26"/>
    </x:row>
    <x:row r="3" ht="24" customHeight="1">
      <x:c r="A3" s="28" t="str">
        <x:v>Needle Quay (proposed zone) • Codex handoff v0.2 • Research snapshot: 22 October 2026
Specifications only: no generation, authenticated connection, Studio import or runtime approval is claimed.</x:v>
      </x:c>
      <x:c r="B3" s="28"/>
      <x:c r="C3" s="28"/>
      <x:c r="D3" s="28"/>
      <x:c r="E3" s="28"/>
      <x:c r="F3" s="28"/>
      <x:c r="G3" s="28"/>
      <x:c r="H3" s="28"/>
    </x:row>
    <x:row r="4" ht="24" customHeight="1">
      <x:c r="A4" s="28"/>
      <x:c r="B4" s="28"/>
      <x:c r="C4" s="28"/>
      <x:c r="D4" s="28"/>
      <x:c r="E4" s="28"/>
      <x:c r="F4" s="28"/>
      <x:c r="G4" s="28"/>
      <x:c r="H4" s="28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34" customHeight="1">
      <x:c r="A6" s="31" t="str">
        <x:v>Packages</x:v>
      </x:c>
      <x:c r="B6" s="31" t="str">
        <x:v>Tripo candidates</x:v>
      </x:c>
      <x:c r="C6" s="31" t="str">
        <x:v>Core P0 packages</x:v>
      </x:c>
      <x:c r="D6" s="31" t="str">
        <x:v>Runtime verified</x:v>
      </x:c>
      <x:c r="E6" s="2"/>
      <x:c r="F6" s="2" t="str">
        <x:v>PAID GENERATION</x:v>
      </x:c>
      <x:c r="G6" s="2"/>
      <x:c r="H6" s="2"/>
    </x:row>
    <x:row r="7" ht="42" customHeight="1">
      <x:c r="A7" s="34" t="n">
        <x:f>COUNTA('Asset Queue'!A5:A78)</x:f>
        <x:v>74</x:v>
      </x:c>
      <x:c r="B7" s="34" t="n">
        <x:f>COUNTA('Tripo Recipes'!A5:A24)</x:f>
        <x:v>20</x:v>
      </x:c>
      <x:c r="C7" s="34" t="n">
        <x:f>COUNTIF('Asset Queue'!C5:C78,"P0")</x:f>
        <x:v>47</x:v>
      </x:c>
      <x:c r="D7" s="34" t="n">
        <x:f>COUNTIF('Asset Queue'!I5:I78,"Runtime verified")</x:f>
        <x:v>0</x:v>
      </x:c>
      <x:c r="E7" s="2"/>
      <x:c r="F7" s="38" t="str">
        <x:v>BLOCKED — NO AUTHORIZATION</x:v>
      </x:c>
      <x:c r="G7" s="38"/>
      <x:c r="H7" s="38"/>
    </x:row>
    <x:row r="8" ht="24" customHeight="1">
      <x:c r="A8" s="2"/>
      <x:c r="B8" s="2"/>
      <x:c r="C8" s="2"/>
      <x:c r="D8" s="2"/>
      <x:c r="E8" s="2"/>
      <x:c r="F8" s="2"/>
      <x:c r="G8" s="2"/>
      <x:c r="H8" s="2"/>
    </x:row>
    <x:row r="9" ht="24" customHeight="1">
      <x:c r="A9" s="2"/>
      <x:c r="B9" s="2"/>
      <x:c r="C9" s="2"/>
      <x:c r="D9" s="2"/>
      <x:c r="E9" s="2"/>
      <x:c r="F9" s="2"/>
      <x:c r="G9" s="2"/>
      <x:c r="H9" s="2"/>
    </x:row>
    <x:row r="10" ht="24" customHeight="1">
      <x:c r="A10" s="14" t="str">
        <x:v>Route</x:v>
      </x:c>
      <x:c r="B10" s="14"/>
      <x:c r="C10" s="14"/>
      <x:c r="D10" s="14" t="str">
        <x:v>Packages</x:v>
      </x:c>
      <x:c r="E10" s="2"/>
      <x:c r="F10" s="14" t="str">
        <x:v>READ IN THIS ORDER</x:v>
      </x:c>
      <x:c r="G10" s="14"/>
      <x:c r="H10" s="14"/>
    </x:row>
    <x:row r="11" ht="34" customHeight="1">
      <x:c r="A11" s="2" t="str">
        <x:v>AUTHORED_AUDIO</x:v>
      </x:c>
      <x:c r="B11" s="2"/>
      <x:c r="C11" s="2"/>
      <x:c r="D11" s="2" t="n">
        <x:f>COUNTIF('Asset Queue'!D5:D78,A11)</x:f>
        <x:v>4</x:v>
      </x:c>
      <x:c r="E11" s="2"/>
      <x:c r="F11" s="18" t="str">
        <x:v>1. AGENTS + CODEX_START_HERE</x:v>
      </x:c>
      <x:c r="G11" s="18"/>
      <x:c r="H11" s="18"/>
    </x:row>
    <x:row r="12" ht="34" customHeight="1">
      <x:c r="A12" s="2" t="str">
        <x:v>DCC_EXACT</x:v>
      </x:c>
      <x:c r="B12" s="2"/>
      <x:c r="C12" s="2"/>
      <x:c r="D12" s="2" t="n">
        <x:f>COUNTIF('Asset Queue'!D5:D78,A12)</x:f>
        <x:v>24</x:v>
      </x:c>
      <x:c r="E12" s="2"/>
      <x:c r="F12" s="18" t="str">
        <x:v>2. Visual Artbook + Production Atlas</x:v>
      </x:c>
      <x:c r="G12" s="18"/>
      <x:c r="H12" s="18"/>
    </x:row>
    <x:row r="13" ht="34" customHeight="1">
      <x:c r="A13" s="2" t="str">
        <x:v>GAMEPLAY_BINDING</x:v>
      </x:c>
      <x:c r="B13" s="2"/>
      <x:c r="C13" s="2"/>
      <x:c r="D13" s="2" t="n">
        <x:f>COUNTIF('Asset Queue'!D5:D78,A13)</x:f>
        <x:v>6</x:v>
      </x:c>
      <x:c r="E13" s="2"/>
      <x:c r="F13" s="18" t="str">
        <x:v>3. Tripo Runbook + source refresh</x:v>
      </x:c>
      <x:c r="G13" s="18"/>
      <x:c r="H13" s="18"/>
    </x:row>
    <x:row r="14" ht="34" customHeight="1">
      <x:c r="A14" s="2" t="str">
        <x:v>HYBRID_TRIPO</x:v>
      </x:c>
      <x:c r="B14" s="2"/>
      <x:c r="C14" s="2"/>
      <x:c r="D14" s="2" t="n">
        <x:f>COUNTIF('Asset Queue'!D5:D78,A14)</x:f>
        <x:v>12</x:v>
      </x:c>
      <x:c r="E14" s="2"/>
      <x:c r="F14" s="18" t="str">
        <x:v>4. Registry + specific asset recipe</x:v>
      </x:c>
      <x:c r="G14" s="18"/>
      <x:c r="H14" s="18"/>
    </x:row>
    <x:row r="15" ht="34" customHeight="1">
      <x:c r="A15" s="2" t="str">
        <x:v>MATERIAL_GRAPHICS</x:v>
      </x:c>
      <x:c r="B15" s="2"/>
      <x:c r="C15" s="2"/>
      <x:c r="D15" s="2" t="n">
        <x:f>COUNTIF('Asset Queue'!D5:D78,A15)</x:f>
        <x:v>8</x:v>
      </x:c>
      <x:c r="E15" s="2"/>
      <x:c r="F15" s="18" t="str">
        <x:v>5. Offline gate, then approved pilot</x:v>
      </x:c>
      <x:c r="G15" s="18"/>
      <x:c r="H15" s="18"/>
    </x:row>
    <x:row r="16" ht="24" customHeight="1">
      <x:c r="A16" s="2" t="str">
        <x:v>RIG_ANIMATION</x:v>
      </x:c>
      <x:c r="B16" s="2"/>
      <x:c r="C16" s="2"/>
      <x:c r="D16" s="2" t="n">
        <x:f>COUNTIF('Asset Queue'!D5:D78,A16)</x:f>
        <x:v>5</x:v>
      </x:c>
      <x:c r="E16" s="2"/>
      <x:c r="F16" s="2"/>
      <x:c r="G16" s="2"/>
      <x:c r="H16" s="2"/>
    </x:row>
    <x:row r="17" ht="24" customHeight="1">
      <x:c r="A17" s="2" t="str">
        <x:v>STUDIO_ASSEMBLY</x:v>
      </x:c>
      <x:c r="B17" s="2"/>
      <x:c r="C17" s="2"/>
      <x:c r="D17" s="2" t="n">
        <x:f>COUNTIF('Asset Queue'!D5:D78,A17)</x:f>
        <x:v>3</x:v>
      </x:c>
      <x:c r="E17" s="2"/>
      <x:c r="F17" s="2"/>
      <x:c r="G17" s="2"/>
      <x:c r="H17" s="2"/>
    </x:row>
    <x:row r="18" ht="24" customHeight="1">
      <x:c r="A18" s="2" t="str">
        <x:v>TRIPO_PROP</x:v>
      </x:c>
      <x:c r="B18" s="2"/>
      <x:c r="C18" s="2"/>
      <x:c r="D18" s="2" t="n">
        <x:f>COUNTIF('Asset Queue'!D5:D78,A18)</x:f>
        <x:v>8</x:v>
      </x:c>
      <x:c r="E18" s="2"/>
      <x:c r="F18" s="2"/>
      <x:c r="G18" s="2"/>
      <x:c r="H18" s="2"/>
    </x:row>
    <x:row r="19" ht="24" customHeight="1">
      <x:c r="A19" s="2" t="str">
        <x:v>UI_CODE</x:v>
      </x:c>
      <x:c r="B19" s="2"/>
      <x:c r="C19" s="2"/>
      <x:c r="D19" s="2" t="n">
        <x:f>COUNTIF('Asset Queue'!D5:D78,A19)</x:f>
        <x:v>4</x:v>
      </x:c>
      <x:c r="E19" s="2"/>
      <x:c r="F19" s="2"/>
      <x:c r="G19" s="2"/>
      <x:c r="H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</x:row>
    <x:row r="23" ht="24" customHeight="1">
      <x:c r="A23" s="28" t="str">
        <x:v>DEFAULTS: use verified low-poly profiles and explicit per-asset face caps. Build precise controls and architectural joins deterministically. No automatic model upgrades, dense fallbacks, 8K textures, bulk generation or fabricated asset IDs.</x:v>
      </x:c>
      <x:c r="B23" s="28"/>
      <x:c r="C23" s="28"/>
      <x:c r="D23" s="28"/>
      <x:c r="E23" s="28"/>
      <x:c r="F23" s="28"/>
      <x:c r="G23" s="28"/>
      <x:c r="H23" s="28"/>
    </x:row>
    <x:row r="24" ht="24" customHeight="1">
      <x:c r="A24" s="28"/>
      <x:c r="B24" s="28"/>
      <x:c r="C24" s="28"/>
      <x:c r="D24" s="28"/>
      <x:c r="E24" s="28"/>
      <x:c r="F24" s="28"/>
      <x:c r="G24" s="28"/>
      <x:c r="H24" s="28"/>
    </x:row>
    <x:row r="25" ht="24" customHeight="1">
      <x:c r="A25" s="28"/>
      <x:c r="B25" s="28"/>
      <x:c r="C25" s="28"/>
      <x:c r="D25" s="28"/>
      <x:c r="E25" s="28"/>
      <x:c r="F25" s="28"/>
      <x:c r="G25" s="28"/>
      <x:c r="H25" s="28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</x:row>
    <x:row r="27" ht="24" customHeight="1">
      <x:c r="A27" s="43" t="str">
        <x:v>All triangle / texture budgets here are proposed project constraints—not vendor limits or measured performance. Keep JSON and this workbook synchronized after approved scope changes. No cost quote is supplied.</x:v>
      </x:c>
      <x:c r="B27" s="43"/>
      <x:c r="C27" s="43"/>
      <x:c r="D27" s="43"/>
      <x:c r="E27" s="43"/>
      <x:c r="F27" s="43"/>
      <x:c r="G27" s="43"/>
      <x:c r="H27" s="43"/>
    </x:row>
    <x:row r="28" ht="24" customHeight="1">
      <x:c r="A28" s="43"/>
      <x:c r="B28" s="43"/>
      <x:c r="C28" s="43"/>
      <x:c r="D28" s="43"/>
      <x:c r="E28" s="43"/>
      <x:c r="F28" s="43"/>
      <x:c r="G28" s="43"/>
      <x:c r="H28" s="43"/>
    </x:row>
    <x:row r="29" ht="24" customHeight="1">
      <x:c r="A29" s="43"/>
      <x:c r="B29" s="43"/>
      <x:c r="C29" s="43"/>
      <x:c r="D29" s="43"/>
      <x:c r="E29" s="43"/>
      <x:c r="F29" s="43"/>
      <x:c r="G29" s="43"/>
      <x:c r="H29" s="43"/>
    </x:row>
  </x:sheetData>
  <x:mergeCells>
    <x:mergeCell ref="A1:H2"/>
    <x:mergeCell ref="A3:H4"/>
    <x:mergeCell ref="F6:H6"/>
    <x:mergeCell ref="F7:H7"/>
    <x:mergeCell ref="A10:C10"/>
    <x:mergeCell ref="A11:C11"/>
    <x:mergeCell ref="A12:C12"/>
    <x:mergeCell ref="A13:C13"/>
    <x:mergeCell ref="A14:C14"/>
    <x:mergeCell ref="A15:C15"/>
    <x:mergeCell ref="A16:C16"/>
    <x:mergeCell ref="A17:C17"/>
    <x:mergeCell ref="A18:C18"/>
    <x:mergeCell ref="A19:C19"/>
    <x:mergeCell ref="F10:H10"/>
    <x:mergeCell ref="F11:H11"/>
    <x:mergeCell ref="F12:H12"/>
    <x:mergeCell ref="F13:H13"/>
    <x:mergeCell ref="F14:H14"/>
    <x:mergeCell ref="F15:H15"/>
    <x:mergeCell ref="A23:H25"/>
    <x:mergeCell ref="A27:H29"/>
  </x:mergeCells>
  <x:pageMargins left="0.7" right="0.7" top="0.75" bottom="0.75" header="0.3" footer="0.3"/>
</x:worksheet>
</file>